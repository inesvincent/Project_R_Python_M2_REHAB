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ines/Desktop/MAM2ADMM/VINCENT.INES/data/raw/"/>
    </mc:Choice>
  </mc:AlternateContent>
  <xr:revisionPtr revIDLastSave="0" documentId="13_ncr:1_{5A60D09C-78CE-DD4E-B8B2-DFA8870540EC}" xr6:coauthVersionLast="47" xr6:coauthVersionMax="47" xr10:uidLastSave="{00000000-0000-0000-0000-000000000000}"/>
  <bookViews>
    <workbookView xWindow="0" yWindow="740" windowWidth="14660" windowHeight="16900" xr2:uid="{00000000-000D-0000-FFFF-FFFF00000000}"/>
  </bookViews>
  <sheets>
    <sheet name="base de données bru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8" i="1" l="1"/>
  <c r="BD48" i="1"/>
  <c r="BB48" i="1"/>
  <c r="AZ48" i="1"/>
  <c r="AX48" i="1"/>
  <c r="AT48" i="1"/>
  <c r="AU48" i="1"/>
  <c r="AV48" i="1"/>
  <c r="AN48" i="1"/>
  <c r="AP48" i="1" s="1"/>
  <c r="AQ48" i="1" s="1"/>
  <c r="AR48" i="1" s="1"/>
  <c r="AO48" i="1"/>
  <c r="AC48" i="1"/>
  <c r="AD48" i="1" s="1"/>
  <c r="AA48" i="1"/>
  <c r="H48" i="1"/>
  <c r="D48" i="1"/>
  <c r="AE48" i="1" s="1"/>
  <c r="AF48" i="1" s="1"/>
  <c r="BE47" i="1"/>
  <c r="BD47" i="1"/>
  <c r="BB47" i="1"/>
  <c r="AZ47" i="1"/>
  <c r="AX47" i="1"/>
  <c r="AT47" i="1"/>
  <c r="AU47" i="1"/>
  <c r="AV47" i="1"/>
  <c r="AN47" i="1"/>
  <c r="AP47" i="1" s="1"/>
  <c r="AQ47" i="1" s="1"/>
  <c r="AR47" i="1" s="1"/>
  <c r="AO47" i="1"/>
  <c r="AC47" i="1"/>
  <c r="AD47" i="1" s="1"/>
  <c r="AA47" i="1"/>
  <c r="H47" i="1"/>
  <c r="D47" i="1"/>
  <c r="AE47" i="1" s="1"/>
  <c r="AF47" i="1" s="1"/>
  <c r="BD46" i="1"/>
  <c r="BE46" i="1"/>
  <c r="BB46" i="1"/>
  <c r="AZ46" i="1"/>
  <c r="AX46" i="1"/>
  <c r="AT46" i="1"/>
  <c r="AU46" i="1"/>
  <c r="AV46" i="1"/>
  <c r="AN46" i="1"/>
  <c r="AP46" i="1" s="1"/>
  <c r="AQ46" i="1" s="1"/>
  <c r="AR46" i="1" s="1"/>
  <c r="AO46" i="1"/>
  <c r="AC46" i="1"/>
  <c r="AD46" i="1" s="1"/>
  <c r="AA46" i="1"/>
  <c r="H46" i="1"/>
  <c r="D46" i="1"/>
  <c r="X46" i="1" s="1"/>
  <c r="BD45" i="1"/>
  <c r="BB45" i="1"/>
  <c r="AZ45" i="1"/>
  <c r="AX45" i="1"/>
  <c r="AT45" i="1"/>
  <c r="AU45" i="1"/>
  <c r="AV45" i="1"/>
  <c r="AN45" i="1"/>
  <c r="AP45" i="1" s="1"/>
  <c r="AQ45" i="1" s="1"/>
  <c r="AR45" i="1" s="1"/>
  <c r="AO45" i="1"/>
  <c r="AC45" i="1"/>
  <c r="AD45" i="1" s="1"/>
  <c r="AA45" i="1"/>
  <c r="H45" i="1"/>
  <c r="D45" i="1"/>
  <c r="AE45" i="1" s="1"/>
  <c r="AF45" i="1" s="1"/>
  <c r="AX44" i="1"/>
  <c r="BD44" i="1"/>
  <c r="BB44" i="1"/>
  <c r="AZ44" i="1"/>
  <c r="AT44" i="1"/>
  <c r="AU44" i="1"/>
  <c r="AV44" i="1"/>
  <c r="AN44" i="1"/>
  <c r="AP44" i="1" s="1"/>
  <c r="AQ44" i="1" s="1"/>
  <c r="AR44" i="1" s="1"/>
  <c r="AO44" i="1"/>
  <c r="AE44" i="1"/>
  <c r="AF44" i="1" s="1"/>
  <c r="AC44" i="1"/>
  <c r="AD44" i="1" s="1"/>
  <c r="AA44" i="1"/>
  <c r="H44" i="1"/>
  <c r="D44" i="1"/>
  <c r="X44" i="1" s="1"/>
  <c r="BE43" i="1"/>
  <c r="BD43" i="1"/>
  <c r="BB43" i="1"/>
  <c r="AZ43" i="1"/>
  <c r="AX43" i="1"/>
  <c r="AN43" i="1"/>
  <c r="AP43" i="1"/>
  <c r="AQ43" i="1" s="1"/>
  <c r="AR43" i="1" s="1"/>
  <c r="AO43" i="1"/>
  <c r="AC43" i="1"/>
  <c r="AD43" i="1" s="1"/>
  <c r="AA43" i="1"/>
  <c r="H43" i="1"/>
  <c r="D43" i="1"/>
  <c r="AE43" i="1" s="1"/>
  <c r="AF43" i="1" s="1"/>
  <c r="BD42" i="1"/>
  <c r="BE42" i="1"/>
  <c r="BB42" i="1"/>
  <c r="AZ42" i="1"/>
  <c r="AX42" i="1"/>
  <c r="AT42" i="1"/>
  <c r="AU42" i="1"/>
  <c r="AV42" i="1"/>
  <c r="AN42" i="1"/>
  <c r="AP42" i="1" s="1"/>
  <c r="AQ42" i="1" s="1"/>
  <c r="AR42" i="1" s="1"/>
  <c r="AO42" i="1"/>
  <c r="AC42" i="1"/>
  <c r="AD42" i="1" s="1"/>
  <c r="AA42" i="1"/>
  <c r="H42" i="1"/>
  <c r="D42" i="1"/>
  <c r="X42" i="1" s="1"/>
  <c r="BE41" i="1"/>
  <c r="BC41" i="1"/>
  <c r="BD41" i="1" s="1"/>
  <c r="BB41" i="1"/>
  <c r="AZ41" i="1"/>
  <c r="AX41" i="1"/>
  <c r="AT41" i="1"/>
  <c r="AU41" i="1"/>
  <c r="AV41" i="1"/>
  <c r="AO41" i="1"/>
  <c r="AN41" i="1"/>
  <c r="AP41" i="1" s="1"/>
  <c r="AQ41" i="1" s="1"/>
  <c r="AR41" i="1" s="1"/>
  <c r="AC41" i="1"/>
  <c r="AD41" i="1" s="1"/>
  <c r="AA41" i="1"/>
  <c r="H41" i="1"/>
  <c r="D41" i="1"/>
  <c r="AE41" i="1" s="1"/>
  <c r="AF41" i="1" s="1"/>
  <c r="X47" i="1" l="1"/>
  <c r="X41" i="1"/>
  <c r="AE46" i="1"/>
  <c r="AF46" i="1" s="1"/>
  <c r="AE42" i="1"/>
  <c r="AF42" i="1" s="1"/>
  <c r="X43" i="1"/>
  <c r="X45" i="1"/>
  <c r="X48" i="1"/>
  <c r="BD40" i="1"/>
  <c r="BE40" i="1"/>
  <c r="BC40" i="1"/>
  <c r="BB40" i="1"/>
  <c r="AZ40" i="1"/>
  <c r="AX40" i="1"/>
  <c r="AT40" i="1"/>
  <c r="AU40" i="1"/>
  <c r="AV40" i="1"/>
  <c r="AN40" i="1"/>
  <c r="AP40" i="1" s="1"/>
  <c r="AQ40" i="1" s="1"/>
  <c r="AR40" i="1" s="1"/>
  <c r="AO40" i="1"/>
  <c r="AC40" i="1"/>
  <c r="AD40" i="1" s="1"/>
  <c r="AA40" i="1"/>
  <c r="H40" i="1"/>
  <c r="D40" i="1"/>
  <c r="AE40" i="1" s="1"/>
  <c r="AF40" i="1" s="1"/>
  <c r="BD39" i="1"/>
  <c r="BE39" i="1"/>
  <c r="BC39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2" i="1"/>
  <c r="AZ39" i="1"/>
  <c r="AX39" i="1"/>
  <c r="AT39" i="1"/>
  <c r="AU39" i="1"/>
  <c r="AV39" i="1"/>
  <c r="AN39" i="1"/>
  <c r="AP39" i="1" s="1"/>
  <c r="AQ39" i="1" s="1"/>
  <c r="AR39" i="1" s="1"/>
  <c r="AO39" i="1"/>
  <c r="AE39" i="1"/>
  <c r="AF39" i="1" s="1"/>
  <c r="AC39" i="1"/>
  <c r="AD39" i="1" s="1"/>
  <c r="AA39" i="1"/>
  <c r="H39" i="1"/>
  <c r="D39" i="1"/>
  <c r="X39" i="1" s="1"/>
  <c r="BE38" i="1"/>
  <c r="BC38" i="1"/>
  <c r="BD38" i="1" s="1"/>
  <c r="AZ38" i="1"/>
  <c r="AX38" i="1"/>
  <c r="AT38" i="1"/>
  <c r="AU38" i="1"/>
  <c r="AV38" i="1"/>
  <c r="AO38" i="1"/>
  <c r="AN38" i="1"/>
  <c r="AP38" i="1" s="1"/>
  <c r="AQ38" i="1" s="1"/>
  <c r="AR38" i="1" s="1"/>
  <c r="AC38" i="1"/>
  <c r="AD38" i="1" s="1"/>
  <c r="AA38" i="1"/>
  <c r="X38" i="1"/>
  <c r="H38" i="1"/>
  <c r="D38" i="1"/>
  <c r="AE38" i="1" s="1"/>
  <c r="AF38" i="1" s="1"/>
  <c r="BE37" i="1"/>
  <c r="BC37" i="1"/>
  <c r="BD37" i="1" s="1"/>
  <c r="AZ37" i="1"/>
  <c r="AX37" i="1"/>
  <c r="AT37" i="1"/>
  <c r="AU37" i="1"/>
  <c r="AV37" i="1"/>
  <c r="H37" i="1"/>
  <c r="D37" i="1"/>
  <c r="AE37" i="1" s="1"/>
  <c r="BE36" i="1"/>
  <c r="BC36" i="1"/>
  <c r="BD36" i="1" s="1"/>
  <c r="AZ36" i="1"/>
  <c r="AX36" i="1"/>
  <c r="AT36" i="1"/>
  <c r="AU36" i="1"/>
  <c r="AV36" i="1"/>
  <c r="AC36" i="1"/>
  <c r="AD36" i="1" s="1"/>
  <c r="AA36" i="1"/>
  <c r="X36" i="1"/>
  <c r="H36" i="1"/>
  <c r="D36" i="1"/>
  <c r="AE36" i="1" s="1"/>
  <c r="AF36" i="1" s="1"/>
  <c r="BE35" i="1"/>
  <c r="BC35" i="1"/>
  <c r="BD35" i="1" s="1"/>
  <c r="AZ35" i="1"/>
  <c r="AX35" i="1"/>
  <c r="AT35" i="1"/>
  <c r="AU35" i="1"/>
  <c r="AV35" i="1"/>
  <c r="AN35" i="1"/>
  <c r="AP35" i="1" s="1"/>
  <c r="AQ35" i="1" s="1"/>
  <c r="AR35" i="1" s="1"/>
  <c r="AO35" i="1"/>
  <c r="AC35" i="1"/>
  <c r="AD35" i="1" s="1"/>
  <c r="H35" i="1"/>
  <c r="D35" i="1"/>
  <c r="X35" i="1" s="1"/>
  <c r="BE34" i="1"/>
  <c r="BC34" i="1"/>
  <c r="BD34" i="1" s="1"/>
  <c r="AZ34" i="1"/>
  <c r="AX34" i="1"/>
  <c r="AT34" i="1"/>
  <c r="AU34" i="1"/>
  <c r="AV34" i="1"/>
  <c r="AO34" i="1"/>
  <c r="AN34" i="1"/>
  <c r="AP34" i="1" s="1"/>
  <c r="AQ34" i="1" s="1"/>
  <c r="AR34" i="1" s="1"/>
  <c r="AC34" i="1"/>
  <c r="AD34" i="1" s="1"/>
  <c r="AA35" i="1"/>
  <c r="AA34" i="1"/>
  <c r="H34" i="1"/>
  <c r="D34" i="1"/>
  <c r="X34" i="1" s="1"/>
  <c r="BD33" i="1"/>
  <c r="AZ33" i="1"/>
  <c r="AX33" i="1"/>
  <c r="AT33" i="1"/>
  <c r="AU33" i="1"/>
  <c r="AV33" i="1"/>
  <c r="H33" i="1"/>
  <c r="D33" i="1"/>
  <c r="X33" i="1" s="1"/>
  <c r="BD32" i="1"/>
  <c r="AZ32" i="1"/>
  <c r="AX32" i="1"/>
  <c r="AT32" i="1"/>
  <c r="AU32" i="1"/>
  <c r="AV32" i="1"/>
  <c r="AN32" i="1"/>
  <c r="AP32" i="1" s="1"/>
  <c r="AQ32" i="1" s="1"/>
  <c r="AR32" i="1" s="1"/>
  <c r="AO32" i="1"/>
  <c r="AC32" i="1"/>
  <c r="AD32" i="1" s="1"/>
  <c r="H32" i="1"/>
  <c r="D32" i="1"/>
  <c r="X32" i="1" s="1"/>
  <c r="BD31" i="1"/>
  <c r="AZ31" i="1"/>
  <c r="AX31" i="1"/>
  <c r="AT31" i="1"/>
  <c r="AU31" i="1"/>
  <c r="AV31" i="1"/>
  <c r="AN31" i="1"/>
  <c r="AP31" i="1" s="1"/>
  <c r="AQ31" i="1" s="1"/>
  <c r="AR31" i="1" s="1"/>
  <c r="AO31" i="1"/>
  <c r="AC31" i="1"/>
  <c r="AD31" i="1" s="1"/>
  <c r="H31" i="1"/>
  <c r="D31" i="1"/>
  <c r="X31" i="1" s="1"/>
  <c r="AE35" i="1" l="1"/>
  <c r="AF35" i="1" s="1"/>
  <c r="X37" i="1"/>
  <c r="X40" i="1"/>
  <c r="AF37" i="1"/>
  <c r="BD30" i="1"/>
  <c r="AX30" i="1"/>
  <c r="AZ30" i="1"/>
  <c r="AT30" i="1"/>
  <c r="AU30" i="1"/>
  <c r="AV30" i="1"/>
  <c r="AO30" i="1"/>
  <c r="AN30" i="1"/>
  <c r="AP30" i="1" s="1"/>
  <c r="AQ30" i="1" s="1"/>
  <c r="AR30" i="1" s="1"/>
  <c r="AC30" i="1"/>
  <c r="AD30" i="1" s="1"/>
  <c r="H30" i="1"/>
  <c r="D30" i="1"/>
  <c r="X30" i="1" s="1"/>
  <c r="BD29" i="1"/>
  <c r="AZ29" i="1"/>
  <c r="AX29" i="1"/>
  <c r="AT29" i="1"/>
  <c r="AU29" i="1"/>
  <c r="AV29" i="1"/>
  <c r="AN28" i="1"/>
  <c r="AA27" i="1"/>
  <c r="AA28" i="1"/>
  <c r="AA29" i="1"/>
  <c r="AA30" i="1"/>
  <c r="AA31" i="1"/>
  <c r="AA32" i="1"/>
  <c r="AE31" i="1"/>
  <c r="AF31" i="1" s="1"/>
  <c r="AE32" i="1"/>
  <c r="AF32" i="1" s="1"/>
  <c r="AE33" i="1"/>
  <c r="AF33" i="1" s="1"/>
  <c r="AE34" i="1"/>
  <c r="AF34" i="1" s="1"/>
  <c r="AC29" i="1"/>
  <c r="AD29" i="1" s="1"/>
  <c r="H29" i="1"/>
  <c r="D29" i="1"/>
  <c r="AE29" i="1" s="1"/>
  <c r="AF29" i="1" s="1"/>
  <c r="AE30" i="1" l="1"/>
  <c r="X29" i="1"/>
  <c r="AF30" i="1"/>
  <c r="BD25" i="1"/>
  <c r="AX25" i="1"/>
  <c r="AT25" i="1"/>
  <c r="AU25" i="1"/>
  <c r="AV25" i="1"/>
  <c r="AN25" i="1"/>
  <c r="AP25" i="1" s="1"/>
  <c r="AQ25" i="1" s="1"/>
  <c r="AR25" i="1" s="1"/>
  <c r="AO25" i="1"/>
  <c r="AC25" i="1"/>
  <c r="AD25" i="1" s="1"/>
  <c r="AA25" i="1"/>
  <c r="H25" i="1"/>
  <c r="D25" i="1"/>
  <c r="AE25" i="1" s="1"/>
  <c r="AF25" i="1" s="1"/>
  <c r="BD26" i="1"/>
  <c r="AZ26" i="1"/>
  <c r="AX26" i="1"/>
  <c r="AT26" i="1"/>
  <c r="AU26" i="1"/>
  <c r="AV26" i="1"/>
  <c r="AN26" i="1"/>
  <c r="AP26" i="1" s="1"/>
  <c r="AQ26" i="1" s="1"/>
  <c r="AR26" i="1" s="1"/>
  <c r="AO26" i="1"/>
  <c r="AC26" i="1"/>
  <c r="AD26" i="1" s="1"/>
  <c r="AA26" i="1"/>
  <c r="H26" i="1"/>
  <c r="D26" i="1"/>
  <c r="AE26" i="1" s="1"/>
  <c r="AF26" i="1" s="1"/>
  <c r="BD28" i="1"/>
  <c r="AZ28" i="1"/>
  <c r="AX28" i="1"/>
  <c r="AT28" i="1"/>
  <c r="AU28" i="1"/>
  <c r="AV28" i="1"/>
  <c r="AP28" i="1"/>
  <c r="AQ28" i="1" s="1"/>
  <c r="AR28" i="1" s="1"/>
  <c r="AO28" i="1"/>
  <c r="AC28" i="1"/>
  <c r="AD28" i="1" s="1"/>
  <c r="H28" i="1"/>
  <c r="D28" i="1"/>
  <c r="X28" i="1" s="1"/>
  <c r="X25" i="1" l="1"/>
  <c r="X26" i="1"/>
  <c r="AE28" i="1"/>
  <c r="AF28" i="1" s="1"/>
  <c r="BD27" i="1"/>
  <c r="AZ27" i="1"/>
  <c r="AX27" i="1"/>
  <c r="AT27" i="1"/>
  <c r="AU27" i="1"/>
  <c r="AV27" i="1"/>
  <c r="AN27" i="1"/>
  <c r="AP27" i="1" s="1"/>
  <c r="AQ27" i="1" s="1"/>
  <c r="AR27" i="1" s="1"/>
  <c r="AO27" i="1"/>
  <c r="AC27" i="1"/>
  <c r="AD27" i="1" s="1"/>
  <c r="H27" i="1"/>
  <c r="D27" i="1"/>
  <c r="AE27" i="1" s="1"/>
  <c r="AF27" i="1" s="1"/>
  <c r="X27" i="1" l="1"/>
  <c r="AC14" i="1"/>
  <c r="AD14" i="1" s="1"/>
  <c r="BD24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" i="1"/>
  <c r="AD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O6" i="1" l="1"/>
  <c r="AN4" i="1"/>
  <c r="AP4" i="1" s="1"/>
  <c r="AN7" i="1"/>
  <c r="AN8" i="1"/>
  <c r="AN9" i="1"/>
  <c r="AN10" i="1"/>
  <c r="AP10" i="1" s="1"/>
  <c r="AN11" i="1"/>
  <c r="AP11" i="1" s="1"/>
  <c r="AN12" i="1"/>
  <c r="AN13" i="1"/>
  <c r="AP13" i="1" s="1"/>
  <c r="AN14" i="1"/>
  <c r="AP14" i="1" s="1"/>
  <c r="AN15" i="1"/>
  <c r="AN16" i="1"/>
  <c r="AN18" i="1"/>
  <c r="AN19" i="1"/>
  <c r="AP19" i="1" s="1"/>
  <c r="AQ19" i="1" s="1"/>
  <c r="AR19" i="1" s="1"/>
  <c r="AN20" i="1"/>
  <c r="AP20" i="1" s="1"/>
  <c r="AN21" i="1"/>
  <c r="AN22" i="1"/>
  <c r="AP22" i="1" s="1"/>
  <c r="AQ22" i="1" s="1"/>
  <c r="AR22" i="1" s="1"/>
  <c r="AN23" i="1"/>
  <c r="AP23" i="1" s="1"/>
  <c r="AN24" i="1"/>
  <c r="AN3" i="1"/>
  <c r="AP3" i="1" s="1"/>
  <c r="AQ3" i="1" s="1"/>
  <c r="AR3" i="1" s="1"/>
  <c r="BE12" i="1"/>
  <c r="AO12" i="1"/>
  <c r="AC12" i="1"/>
  <c r="AD12" i="1" s="1"/>
  <c r="H12" i="1"/>
  <c r="D12" i="1"/>
  <c r="AE12" i="1" s="1"/>
  <c r="AF12" i="1" s="1"/>
  <c r="AO3" i="1"/>
  <c r="AQ6" i="1"/>
  <c r="AR6" i="1" s="1"/>
  <c r="AO4" i="1"/>
  <c r="AO7" i="1"/>
  <c r="AO8" i="1"/>
  <c r="AO9" i="1"/>
  <c r="AO10" i="1"/>
  <c r="AO11" i="1"/>
  <c r="AO13" i="1"/>
  <c r="AO14" i="1"/>
  <c r="AO15" i="1"/>
  <c r="AO16" i="1"/>
  <c r="AO18" i="1"/>
  <c r="AO19" i="1"/>
  <c r="AO20" i="1"/>
  <c r="AO21" i="1"/>
  <c r="AO22" i="1"/>
  <c r="AO23" i="1"/>
  <c r="AO24" i="1"/>
  <c r="BE24" i="1"/>
  <c r="D24" i="1"/>
  <c r="H24" i="1"/>
  <c r="AC24" i="1"/>
  <c r="AD24" i="1" s="1"/>
  <c r="BE23" i="1"/>
  <c r="AE24" i="1" l="1"/>
  <c r="AF24" i="1" s="1"/>
  <c r="X24" i="1"/>
  <c r="AP21" i="1"/>
  <c r="AP18" i="1"/>
  <c r="AQ18" i="1" s="1"/>
  <c r="AR18" i="1" s="1"/>
  <c r="X12" i="1"/>
  <c r="AP12" i="1"/>
  <c r="AQ12" i="1" s="1"/>
  <c r="AR12" i="1" s="1"/>
  <c r="AP9" i="1"/>
  <c r="AQ9" i="1" s="1"/>
  <c r="AR9" i="1" s="1"/>
  <c r="AQ21" i="1"/>
  <c r="AR21" i="1" s="1"/>
  <c r="AQ13" i="1"/>
  <c r="AR13" i="1" s="1"/>
  <c r="AP16" i="1"/>
  <c r="AQ16" i="1" s="1"/>
  <c r="AR16" i="1" s="1"/>
  <c r="AP8" i="1"/>
  <c r="AQ8" i="1" s="1"/>
  <c r="AR8" i="1" s="1"/>
  <c r="AQ14" i="1"/>
  <c r="AR14" i="1" s="1"/>
  <c r="AQ11" i="1"/>
  <c r="AR11" i="1" s="1"/>
  <c r="AP24" i="1"/>
  <c r="AQ24" i="1" s="1"/>
  <c r="AR24" i="1" s="1"/>
  <c r="AP15" i="1"/>
  <c r="AQ15" i="1" s="1"/>
  <c r="AR15" i="1" s="1"/>
  <c r="AP7" i="1"/>
  <c r="AQ7" i="1" s="1"/>
  <c r="AR7" i="1" s="1"/>
  <c r="AQ10" i="1"/>
  <c r="AR10" i="1" s="1"/>
  <c r="AQ20" i="1"/>
  <c r="AR20" i="1" s="1"/>
  <c r="AQ23" i="1"/>
  <c r="AR23" i="1" s="1"/>
  <c r="AQ4" i="1"/>
  <c r="AR4" i="1" s="1"/>
  <c r="D2" i="1"/>
  <c r="D3" i="1"/>
  <c r="D4" i="1"/>
  <c r="BE22" i="1"/>
  <c r="H22" i="1"/>
  <c r="BE21" i="1"/>
  <c r="BE20" i="1"/>
  <c r="AC20" i="1"/>
  <c r="AD20" i="1" s="1"/>
  <c r="BE19" i="1"/>
  <c r="H19" i="1"/>
  <c r="BE18" i="1" l="1"/>
  <c r="BE17" i="1" l="1"/>
  <c r="H17" i="1" l="1"/>
  <c r="BE15" i="1"/>
  <c r="BE14" i="1"/>
  <c r="AC10" i="1" l="1"/>
  <c r="AD10" i="1" s="1"/>
  <c r="BE4" i="1"/>
  <c r="AC3" i="1"/>
  <c r="AD3" i="1" s="1"/>
  <c r="AC4" i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1" i="1"/>
  <c r="AD11" i="1" s="1"/>
  <c r="AC13" i="1"/>
  <c r="AD13" i="1" s="1"/>
  <c r="AC15" i="1"/>
  <c r="AD15" i="1" s="1"/>
  <c r="AC16" i="1"/>
  <c r="AD16" i="1" s="1"/>
  <c r="AC17" i="1"/>
  <c r="AD17" i="1" s="1"/>
  <c r="AC18" i="1"/>
  <c r="AD18" i="1" s="1"/>
  <c r="AC19" i="1"/>
  <c r="AD19" i="1" s="1"/>
  <c r="AC21" i="1"/>
  <c r="AD21" i="1" s="1"/>
  <c r="AC22" i="1"/>
  <c r="AD22" i="1" s="1"/>
  <c r="AC23" i="1"/>
  <c r="AD23" i="1" s="1"/>
  <c r="X3" i="1"/>
  <c r="X4" i="1"/>
  <c r="D5" i="1"/>
  <c r="X5" i="1" s="1"/>
  <c r="D6" i="1"/>
  <c r="AE6" i="1" s="1"/>
  <c r="AF6" i="1" s="1"/>
  <c r="D7" i="1"/>
  <c r="X7" i="1" s="1"/>
  <c r="D8" i="1"/>
  <c r="AE8" i="1" s="1"/>
  <c r="AF8" i="1" s="1"/>
  <c r="D9" i="1"/>
  <c r="AE9" i="1" s="1"/>
  <c r="AF9" i="1" s="1"/>
  <c r="D10" i="1"/>
  <c r="X10" i="1" s="1"/>
  <c r="D11" i="1"/>
  <c r="X11" i="1" s="1"/>
  <c r="D13" i="1"/>
  <c r="X13" i="1" s="1"/>
  <c r="D14" i="1"/>
  <c r="AE14" i="1" s="1"/>
  <c r="AF14" i="1" s="1"/>
  <c r="D15" i="1"/>
  <c r="AE15" i="1" s="1"/>
  <c r="AF15" i="1" s="1"/>
  <c r="D16" i="1"/>
  <c r="AE16" i="1" s="1"/>
  <c r="AF16" i="1" s="1"/>
  <c r="D17" i="1"/>
  <c r="AE17" i="1" s="1"/>
  <c r="AF17" i="1" s="1"/>
  <c r="D18" i="1"/>
  <c r="AE18" i="1" s="1"/>
  <c r="AF18" i="1" s="1"/>
  <c r="D19" i="1"/>
  <c r="X19" i="1" s="1"/>
  <c r="D20" i="1"/>
  <c r="X20" i="1" s="1"/>
  <c r="D21" i="1"/>
  <c r="X21" i="1" s="1"/>
  <c r="D22" i="1"/>
  <c r="AE22" i="1" s="1"/>
  <c r="AF22" i="1" s="1"/>
  <c r="D23" i="1"/>
  <c r="AE23" i="1" s="1"/>
  <c r="AF23" i="1" s="1"/>
  <c r="X2" i="1"/>
  <c r="H3" i="1"/>
  <c r="H4" i="1"/>
  <c r="H5" i="1"/>
  <c r="H6" i="1"/>
  <c r="H7" i="1"/>
  <c r="H8" i="1"/>
  <c r="H9" i="1"/>
  <c r="H10" i="1"/>
  <c r="H11" i="1"/>
  <c r="H13" i="1"/>
  <c r="H14" i="1"/>
  <c r="H15" i="1"/>
  <c r="H16" i="1"/>
  <c r="H18" i="1"/>
  <c r="H20" i="1"/>
  <c r="H21" i="1"/>
  <c r="H23" i="1"/>
  <c r="H2" i="1"/>
  <c r="X18" i="1" l="1"/>
  <c r="X17" i="1"/>
  <c r="AE21" i="1"/>
  <c r="AF21" i="1" s="1"/>
  <c r="AE20" i="1"/>
  <c r="AF20" i="1" s="1"/>
  <c r="AE19" i="1"/>
  <c r="AF19" i="1" s="1"/>
  <c r="AE13" i="1"/>
  <c r="AF13" i="1" s="1"/>
  <c r="AE11" i="1"/>
  <c r="AF11" i="1" s="1"/>
  <c r="X16" i="1"/>
  <c r="AE3" i="1"/>
  <c r="AF3" i="1" s="1"/>
  <c r="X23" i="1"/>
  <c r="X15" i="1"/>
  <c r="AE4" i="1"/>
  <c r="AF4" i="1" s="1"/>
  <c r="X22" i="1"/>
  <c r="X14" i="1"/>
  <c r="AE10" i="1"/>
  <c r="AF10" i="1" s="1"/>
  <c r="X9" i="1"/>
  <c r="X8" i="1"/>
  <c r="AE7" i="1"/>
  <c r="AF7" i="1" s="1"/>
  <c r="X6" i="1"/>
  <c r="AE5" i="1"/>
  <c r="AF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MENIGOZ Charlotte</author>
  </authors>
  <commentList>
    <comment ref="X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MENIGOZ Charlotte: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 DLCO réalisable +3</t>
        </r>
      </text>
    </comment>
    <comment ref="AH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MENIGOZ Charlotte:</t>
        </r>
        <r>
          <rPr>
            <sz val="9"/>
            <color indexed="81"/>
            <rFont val="Tahoma"/>
            <family val="2"/>
          </rPr>
          <t xml:space="preserve">
non possible</t>
        </r>
      </text>
    </comment>
    <comment ref="AJ5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MENIGOZ Charlotte: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non possible sur l'appareil</t>
        </r>
      </text>
    </comment>
  </commentList>
</comments>
</file>

<file path=xl/sharedStrings.xml><?xml version="1.0" encoding="utf-8"?>
<sst xmlns="http://schemas.openxmlformats.org/spreadsheetml/2006/main" count="153" uniqueCount="62">
  <si>
    <t>M0_DLCO(%)</t>
  </si>
  <si>
    <t>age</t>
  </si>
  <si>
    <t>ILD_GAP</t>
  </si>
  <si>
    <t>Ishii</t>
  </si>
  <si>
    <t>Fried</t>
  </si>
  <si>
    <t>FRAIL</t>
  </si>
  <si>
    <t>EFC</t>
  </si>
  <si>
    <t>GFST</t>
  </si>
  <si>
    <t>HAD</t>
  </si>
  <si>
    <t>KBILD</t>
  </si>
  <si>
    <t>M</t>
  </si>
  <si>
    <t>ExF</t>
  </si>
  <si>
    <t>F</t>
  </si>
  <si>
    <t>NF</t>
  </si>
  <si>
    <t>.</t>
  </si>
  <si>
    <t>ASM(0,52)</t>
  </si>
  <si>
    <t>ASM_R</t>
  </si>
  <si>
    <t>visit_date</t>
  </si>
  <si>
    <t>gender</t>
  </si>
  <si>
    <t>weight</t>
  </si>
  <si>
    <t>height</t>
  </si>
  <si>
    <t>BMI</t>
  </si>
  <si>
    <t>smoking</t>
  </si>
  <si>
    <t>pack_per_year</t>
  </si>
  <si>
    <t>family_history</t>
  </si>
  <si>
    <t>COPD</t>
  </si>
  <si>
    <t>PH</t>
  </si>
  <si>
    <t>resection</t>
  </si>
  <si>
    <t>cortico</t>
  </si>
  <si>
    <t>cancer</t>
  </si>
  <si>
    <t>M0_dyspnea</t>
  </si>
  <si>
    <t>M0_LTOT</t>
  </si>
  <si>
    <t>M0_walkingO2</t>
  </si>
  <si>
    <t>M0_PFT_date</t>
  </si>
  <si>
    <t>M0_FVCL)</t>
  </si>
  <si>
    <t>M0_FVC(%)</t>
  </si>
  <si>
    <t>charlson_index</t>
  </si>
  <si>
    <t>calf(cm)</t>
  </si>
  <si>
    <t>SARC_F</t>
  </si>
  <si>
    <t>SARC_F_patho</t>
  </si>
  <si>
    <t>SARC_Calf</t>
  </si>
  <si>
    <t>SARC_Calf_patho</t>
  </si>
  <si>
    <t>Ishii_patho</t>
  </si>
  <si>
    <t>walk_time_4m</t>
  </si>
  <si>
    <t>time_5_raise_chair</t>
  </si>
  <si>
    <t>body_fat</t>
  </si>
  <si>
    <t>lean_body_mass</t>
  </si>
  <si>
    <t>muscle_mass</t>
  </si>
  <si>
    <t>resistance</t>
  </si>
  <si>
    <t>muscle_index(m2)</t>
  </si>
  <si>
    <t>sarcopenia</t>
  </si>
  <si>
    <t>severe_sarcopenia</t>
  </si>
  <si>
    <t>frail</t>
  </si>
  <si>
    <t>pre_frail</t>
  </si>
  <si>
    <t>frailty</t>
  </si>
  <si>
    <t>FRAIL_patho</t>
  </si>
  <si>
    <t>EFC_patho</t>
  </si>
  <si>
    <t>GFST_patho</t>
  </si>
  <si>
    <t>HAD_patho</t>
  </si>
  <si>
    <t>birth_year</t>
  </si>
  <si>
    <t>handgrip_strength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</si>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</sst>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 (Corps)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8"/>
  <sheetViews>
    <sheetView tabSelected="1" workbookViewId="0">
      <pane ySplit="1" topLeftCell="A3" activePane="bottomLeft" state="frozen"/>
      <selection pane="bottomLeft" activeCell="F6" sqref="F6"/>
    </sheetView>
  </sheetViews>
  <sheetFormatPr baseColWidth="10" defaultRowHeight="15" x14ac:dyDescent="0.2"/>
  <cols>
    <col min="1" max="1" width="6.6640625" style="1" bestFit="1" customWidth="1"/>
    <col min="2" max="2" width="10.5" style="3" bestFit="1" customWidth="1"/>
    <col min="3" max="3" width="8.83203125" style="1" customWidth="1"/>
    <col min="4" max="4" width="3.6640625" style="1" customWidth="1"/>
    <col min="5" max="6" width="6.33203125" style="1" bestFit="1" customWidth="1"/>
    <col min="7" max="7" width="6" style="4" bestFit="1" customWidth="1"/>
    <col min="8" max="8" width="5.33203125" style="4" customWidth="1"/>
    <col min="9" max="9" width="7.1640625" style="1" bestFit="1" customWidth="1"/>
    <col min="10" max="11" width="12" style="1" bestFit="1" customWidth="1"/>
    <col min="12" max="12" width="5.5" style="1" bestFit="1" customWidth="1"/>
    <col min="13" max="13" width="8.83203125" style="1" customWidth="1"/>
    <col min="14" max="14" width="4.1640625" style="1" customWidth="1"/>
    <col min="15" max="15" width="6.6640625" style="1" customWidth="1"/>
    <col min="16" max="16" width="6.5" style="1" customWidth="1"/>
    <col min="17" max="17" width="11.5" style="1" customWidth="1"/>
    <col min="18" max="18" width="8" style="1" customWidth="1"/>
    <col min="19" max="19" width="12.6640625" style="1" customWidth="1"/>
    <col min="20" max="20" width="11.33203125" style="1" customWidth="1"/>
    <col min="21" max="21" width="9.6640625" style="1" customWidth="1"/>
    <col min="22" max="22" width="10.33203125" style="1" customWidth="1"/>
    <col min="23" max="23" width="11.83203125" style="1" customWidth="1"/>
    <col min="24" max="24" width="7.83203125" style="1" customWidth="1"/>
    <col min="25" max="25" width="12.6640625" style="1" bestFit="1" customWidth="1"/>
    <col min="26" max="26" width="6.6640625" style="1" customWidth="1"/>
    <col min="27" max="27" width="12" style="1" customWidth="1"/>
    <col min="28" max="28" width="9.83203125" style="1" customWidth="1"/>
    <col min="29" max="29" width="8.83203125" style="1" customWidth="1"/>
    <col min="30" max="30" width="14.1640625" style="1" customWidth="1"/>
    <col min="31" max="31" width="6.83203125" style="1" customWidth="1"/>
    <col min="32" max="32" width="9.5" style="1" customWidth="1"/>
    <col min="33" max="33" width="12.33203125" style="1" bestFit="1" customWidth="1"/>
    <col min="34" max="34" width="10.1640625" style="1" customWidth="1"/>
    <col min="35" max="35" width="15.1640625" style="1" bestFit="1" customWidth="1"/>
    <col min="36" max="36" width="12.33203125" style="1" customWidth="1"/>
    <col min="37" max="37" width="13.5" style="1" bestFit="1" customWidth="1"/>
    <col min="38" max="38" width="12.5" style="1" customWidth="1"/>
    <col min="39" max="39" width="8.6640625" style="1" bestFit="1" customWidth="1"/>
    <col min="40" max="40" width="6.33203125" style="4" bestFit="1" customWidth="1"/>
    <col min="41" max="41" width="9" style="1" bestFit="1" customWidth="1"/>
    <col min="42" max="42" width="15.6640625" style="4" customWidth="1"/>
    <col min="43" max="43" width="9.83203125" style="6" customWidth="1"/>
    <col min="44" max="44" width="15.83203125" style="6" customWidth="1"/>
    <col min="45" max="45" width="5" style="1" customWidth="1"/>
    <col min="46" max="46" width="6" style="1" customWidth="1"/>
    <col min="47" max="47" width="9.33203125" style="1" customWidth="1"/>
    <col min="48" max="48" width="8.83203125" style="1" customWidth="1"/>
    <col min="49" max="49" width="5.33203125" style="1" customWidth="1"/>
    <col min="50" max="50" width="10.6640625" style="1" customWidth="1"/>
    <col min="51" max="51" width="3.83203125" style="1" customWidth="1"/>
    <col min="52" max="52" width="9.1640625" style="1" customWidth="1"/>
    <col min="53" max="53" width="4.83203125" style="1" customWidth="1"/>
    <col min="54" max="54" width="9.1640625" style="1" customWidth="1"/>
    <col min="55" max="55" width="4.5" style="1" customWidth="1"/>
    <col min="56" max="56" width="9.83203125" style="1" customWidth="1"/>
    <col min="57" max="57" width="5.33203125" style="1" customWidth="1"/>
    <col min="58" max="58" width="10.5" style="7" bestFit="1" customWidth="1"/>
    <col min="59" max="59" width="10.83203125" style="1" customWidth="1"/>
    <col min="60" max="60" width="10.33203125" style="1" customWidth="1"/>
    <col min="61" max="61" width="8.1640625" style="1" customWidth="1"/>
    <col min="62" max="62" width="11.6640625" style="1" customWidth="1"/>
    <col min="63" max="63" width="7.5" style="1" customWidth="1"/>
    <col min="64" max="64" width="7" style="1" customWidth="1"/>
    <col min="65" max="65" width="11.1640625" style="3" customWidth="1"/>
    <col min="66" max="66" width="11" style="8" customWidth="1"/>
    <col min="67" max="67" width="11" style="1" customWidth="1"/>
    <col min="68" max="69" width="10.83203125" style="1"/>
    <col min="70" max="70" width="11.5" style="1" customWidth="1"/>
    <col min="71" max="71" width="10.83203125" style="6"/>
    <col min="72" max="72" width="8" style="1" customWidth="1"/>
    <col min="73" max="73" width="12.6640625" style="1" customWidth="1"/>
    <col min="74" max="74" width="11.33203125" style="1" customWidth="1"/>
    <col min="75" max="75" width="9.6640625" style="1" customWidth="1"/>
    <col min="76" max="77" width="10.33203125" style="1" customWidth="1"/>
    <col min="78" max="78" width="14" style="2" customWidth="1"/>
    <col min="79" max="79" width="16.6640625" style="1" customWidth="1"/>
    <col min="80" max="80" width="10.83203125" style="1"/>
    <col min="81" max="81" width="16.33203125" style="1" customWidth="1"/>
    <col min="82" max="16384" width="10.83203125" style="1"/>
  </cols>
  <sheetData>
    <row r="1" spans="1:83" x14ac:dyDescent="0.2">
      <c r="A1" s="1" t="s">
        <v>61</v>
      </c>
      <c r="B1" s="3" t="s">
        <v>17</v>
      </c>
      <c r="C1" s="1" t="s">
        <v>59</v>
      </c>
      <c r="D1" s="1" t="s">
        <v>1</v>
      </c>
      <c r="E1" s="1" t="s">
        <v>18</v>
      </c>
      <c r="F1" s="1" t="s">
        <v>19</v>
      </c>
      <c r="G1" s="4" t="s">
        <v>20</v>
      </c>
      <c r="H1" s="4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27</v>
      </c>
      <c r="N1" s="1" t="s">
        <v>26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0</v>
      </c>
      <c r="X1" s="1" t="s">
        <v>2</v>
      </c>
      <c r="Y1" s="1" t="s">
        <v>36</v>
      </c>
      <c r="Z1" s="1" t="s">
        <v>38</v>
      </c>
      <c r="AA1" s="1" t="s">
        <v>39</v>
      </c>
      <c r="AB1" s="1" t="s">
        <v>37</v>
      </c>
      <c r="AC1" s="1" t="s">
        <v>40</v>
      </c>
      <c r="AD1" s="1" t="s">
        <v>41</v>
      </c>
      <c r="AE1" s="1" t="s">
        <v>3</v>
      </c>
      <c r="AF1" s="1" t="s">
        <v>42</v>
      </c>
      <c r="AG1" t="s">
        <v>43</v>
      </c>
      <c r="AH1" s="13" t="s">
        <v>44</v>
      </c>
      <c r="AI1" s="1" t="s">
        <v>60</v>
      </c>
      <c r="AJ1" s="1" t="s">
        <v>45</v>
      </c>
      <c r="AK1" s="1" t="s">
        <v>46</v>
      </c>
      <c r="AL1" s="1" t="s">
        <v>47</v>
      </c>
      <c r="AM1" s="1" t="s">
        <v>48</v>
      </c>
      <c r="AN1" s="4" t="s">
        <v>16</v>
      </c>
      <c r="AO1" s="1" t="s">
        <v>15</v>
      </c>
      <c r="AP1" s="4" t="s">
        <v>49</v>
      </c>
      <c r="AQ1" s="6" t="s">
        <v>50</v>
      </c>
      <c r="AR1" s="6" t="s">
        <v>51</v>
      </c>
      <c r="AS1" s="1" t="s">
        <v>4</v>
      </c>
      <c r="AT1" s="1" t="s">
        <v>52</v>
      </c>
      <c r="AU1" s="1" t="s">
        <v>53</v>
      </c>
      <c r="AV1" s="1" t="s">
        <v>54</v>
      </c>
      <c r="AW1" s="1" t="s">
        <v>5</v>
      </c>
      <c r="AX1" s="1" t="s">
        <v>55</v>
      </c>
      <c r="AY1" s="1" t="s">
        <v>6</v>
      </c>
      <c r="AZ1" s="1" t="s">
        <v>56</v>
      </c>
      <c r="BA1" s="1" t="s">
        <v>7</v>
      </c>
      <c r="BB1" s="1" t="s">
        <v>57</v>
      </c>
      <c r="BC1" s="1" t="s">
        <v>8</v>
      </c>
      <c r="BD1" s="1" t="s">
        <v>58</v>
      </c>
      <c r="BE1" s="1" t="s">
        <v>9</v>
      </c>
      <c r="BF1" s="9"/>
      <c r="BG1" s="10"/>
      <c r="BH1" s="10"/>
      <c r="BI1" s="10"/>
      <c r="BJ1" s="10"/>
      <c r="BK1" s="10"/>
      <c r="BL1" s="10"/>
      <c r="BM1" s="11"/>
      <c r="BN1" s="12"/>
    </row>
    <row r="2" spans="1:83" x14ac:dyDescent="0.2">
      <c r="A2" s="1">
        <v>1</v>
      </c>
      <c r="B2" s="3">
        <v>45692</v>
      </c>
      <c r="C2" s="1">
        <v>1946</v>
      </c>
      <c r="D2" s="1">
        <f t="shared" ref="D2:D48" si="0">DATEDIF(DATE(C2,1,1),B2,"Y")</f>
        <v>79</v>
      </c>
      <c r="E2" s="1" t="s">
        <v>10</v>
      </c>
      <c r="F2" s="1">
        <v>60</v>
      </c>
      <c r="G2" s="4">
        <v>1.7</v>
      </c>
      <c r="H2" s="4">
        <f t="shared" ref="H2:H48" si="1">F2/G2/G2</f>
        <v>20.761245674740486</v>
      </c>
      <c r="I2" s="1" t="s">
        <v>11</v>
      </c>
      <c r="J2" s="1">
        <v>10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2</v>
      </c>
      <c r="R2" s="1">
        <v>0</v>
      </c>
      <c r="S2" s="1">
        <v>0</v>
      </c>
      <c r="T2" s="3">
        <v>45692</v>
      </c>
      <c r="V2" s="1">
        <v>76</v>
      </c>
      <c r="W2" s="1">
        <v>43</v>
      </c>
      <c r="X2" s="5">
        <f t="shared" ref="X2:X16" si="2">IF(E2="M",1,0)+IF(D2&lt;61,0,IF(D2&lt;=65,1,2))+IF(V2&gt;=75,0,IF(V2&gt;=50,1,2))+IF(W2&gt;=55,0,IF(W2&gt;=36,1,2))+IF(OR(BG2="FPI",BG2="inclassable"),0,-2)</f>
        <v>2</v>
      </c>
      <c r="Y2" s="1">
        <v>4</v>
      </c>
      <c r="Z2" s="1">
        <v>0</v>
      </c>
      <c r="AA2" s="1">
        <f>IF(Z2&gt;=4,1,0)</f>
        <v>0</v>
      </c>
      <c r="AD2" s="1">
        <f t="shared" ref="AD2:AD4" si="3">IF(AC2&gt;=11,1,0)</f>
        <v>0</v>
      </c>
      <c r="AG2" s="1">
        <v>2.7</v>
      </c>
      <c r="AH2" s="1">
        <v>9</v>
      </c>
      <c r="AI2" s="1">
        <v>35</v>
      </c>
      <c r="AS2" s="1">
        <v>2</v>
      </c>
      <c r="AT2" s="1">
        <f>IF(AS2&gt;2,1,0)</f>
        <v>0</v>
      </c>
      <c r="AU2" s="1">
        <f>IF(AND(AS2&gt;0,AS2&lt;3),1,0)</f>
        <v>1</v>
      </c>
      <c r="AV2" s="1" t="str">
        <f>IF(AND(AS2&gt;0,AS2&lt;3),"préfragile",IF(AS2&gt;2,"fragile","robuste"))</f>
        <v>préfragile</v>
      </c>
      <c r="AW2" s="1">
        <v>2</v>
      </c>
      <c r="AX2" s="1">
        <f>IF(AW2&gt;=3,1,0)</f>
        <v>0</v>
      </c>
      <c r="AY2" s="1">
        <v>2</v>
      </c>
      <c r="AZ2" s="1">
        <f>IF(AY2&gt;=5,1,0)</f>
        <v>0</v>
      </c>
      <c r="BA2" s="1">
        <v>2</v>
      </c>
      <c r="BB2" s="1">
        <f>IF(BA2&gt;=5,1,0)</f>
        <v>0</v>
      </c>
      <c r="BC2" s="1">
        <v>0</v>
      </c>
      <c r="BD2" s="1">
        <f>IF(BC2&gt;=11,1,0)</f>
        <v>0</v>
      </c>
      <c r="BO2" s="3"/>
      <c r="BV2" s="3"/>
      <c r="CA2" s="3"/>
    </row>
    <row r="3" spans="1:83" x14ac:dyDescent="0.2">
      <c r="A3" s="1">
        <v>2</v>
      </c>
      <c r="B3" s="3">
        <v>45699</v>
      </c>
      <c r="C3" s="1">
        <v>1953</v>
      </c>
      <c r="D3" s="1">
        <f t="shared" si="0"/>
        <v>72</v>
      </c>
      <c r="E3" s="1" t="s">
        <v>12</v>
      </c>
      <c r="F3" s="1">
        <v>95</v>
      </c>
      <c r="G3" s="4">
        <v>1.6</v>
      </c>
      <c r="H3" s="4">
        <f t="shared" si="1"/>
        <v>37.109375</v>
      </c>
      <c r="I3" s="1" t="s">
        <v>13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2</v>
      </c>
      <c r="R3" s="1">
        <v>0</v>
      </c>
      <c r="S3" s="1">
        <v>0</v>
      </c>
      <c r="T3" s="3">
        <v>45188</v>
      </c>
      <c r="U3" s="1">
        <v>2.12</v>
      </c>
      <c r="V3" s="1">
        <v>88</v>
      </c>
      <c r="W3" s="1">
        <v>30</v>
      </c>
      <c r="X3" s="5">
        <f t="shared" si="2"/>
        <v>2</v>
      </c>
      <c r="Y3" s="1">
        <v>8</v>
      </c>
      <c r="Z3" s="1">
        <v>2</v>
      </c>
      <c r="AA3" s="1">
        <f t="shared" ref="AA3:AA48" si="4">IF(Z3&gt;=4,1,0)</f>
        <v>0</v>
      </c>
      <c r="AB3" s="1">
        <v>39</v>
      </c>
      <c r="AC3" s="1">
        <f t="shared" ref="AC3:AC48" si="5">Z3+IF(AND(E3="F",AB3&lt;33),10,IF(AND(E3="M",AB3&lt;34),10,0))</f>
        <v>2</v>
      </c>
      <c r="AD3" s="1">
        <f t="shared" si="3"/>
        <v>0</v>
      </c>
      <c r="AE3" s="1">
        <f t="shared" ref="AE3:AE48" si="6">IF(E3="M",0.62*(D3-64)-3.09*(AI3-50)-4.64*(AB3-42),0.8*(D3-64)-5.09*(AI3-34)-3.28*(AB3-42))</f>
        <v>77.320000000000007</v>
      </c>
      <c r="AF3" s="1">
        <f t="shared" ref="AF3:AF37" si="7">IF(E3="M",IF(AE3&gt;105,1,0),IF(AE3&gt;120,1,0))</f>
        <v>0</v>
      </c>
      <c r="AG3" s="1">
        <v>4</v>
      </c>
      <c r="AH3" s="1">
        <v>11</v>
      </c>
      <c r="AI3" s="1">
        <v>22</v>
      </c>
      <c r="AJ3" s="1">
        <v>48</v>
      </c>
      <c r="AK3" s="1">
        <v>46</v>
      </c>
      <c r="AL3" s="1">
        <v>44</v>
      </c>
      <c r="AM3" s="1">
        <v>538</v>
      </c>
      <c r="AN3" s="4">
        <f>IF(E3="M",0.197*G3*G3/AM3+0.179*F3-0.019,0.221*G3*G3/AM3+0.117*F3-0.881)</f>
        <v>10.235051598513012</v>
      </c>
      <c r="AO3" s="1">
        <f>0.52*AL3</f>
        <v>22.880000000000003</v>
      </c>
      <c r="AP3" s="4">
        <f>AN3/G3/G3</f>
        <v>3.9980670306691448</v>
      </c>
      <c r="AQ3" s="6">
        <f>IF(AND(E3="F",OR(AI3&lt;16,AH3&gt;15),AP3&lt;5.5),1,IF(AND(E3="M",OR(AI3&lt;27,AH3&gt;15),AP3&lt;7),1,0))</f>
        <v>0</v>
      </c>
      <c r="AR3" s="6">
        <f>IF(AND(AQ3=1,AG3&gt;4),1,0)</f>
        <v>0</v>
      </c>
      <c r="AS3" s="1">
        <v>1</v>
      </c>
      <c r="AT3" s="1">
        <f t="shared" ref="AT3:AT42" si="8">IF(AS3&gt;2,1,0)</f>
        <v>0</v>
      </c>
      <c r="AU3" s="1">
        <f t="shared" ref="AU3:AU42" si="9">IF(AND(AS3&gt;0,AS3&lt;3),1,0)</f>
        <v>1</v>
      </c>
      <c r="AV3" s="1" t="str">
        <f t="shared" ref="AV3:AV42" si="10">IF(AND(AS3&gt;0,AS3&lt;3),"préfragile",IF(AS3&gt;2,"fragile","robuste"))</f>
        <v>préfragile</v>
      </c>
      <c r="AW3" s="1">
        <v>3</v>
      </c>
      <c r="AX3" s="1">
        <f t="shared" ref="AX3:AX48" si="11">IF(AW3&gt;=3,1,0)</f>
        <v>1</v>
      </c>
      <c r="AY3" s="1">
        <v>4</v>
      </c>
      <c r="AZ3" s="1">
        <f t="shared" ref="AZ3:AZ48" si="12">IF(AY3&gt;=5,1,0)</f>
        <v>0</v>
      </c>
      <c r="BA3" s="1">
        <v>4</v>
      </c>
      <c r="BB3" s="1">
        <f t="shared" ref="BB3:BB48" si="13">IF(BA3&gt;=5,1,0)</f>
        <v>0</v>
      </c>
      <c r="BC3" s="1">
        <v>15</v>
      </c>
      <c r="BD3" s="1">
        <f t="shared" ref="BD3:BD23" si="14">IF(BC3&gt;=11,1,0)</f>
        <v>1</v>
      </c>
      <c r="BE3" s="1">
        <v>39</v>
      </c>
      <c r="BO3" s="3"/>
      <c r="BV3" s="3"/>
    </row>
    <row r="4" spans="1:83" x14ac:dyDescent="0.2">
      <c r="A4" s="1">
        <v>3</v>
      </c>
      <c r="B4" s="3">
        <v>45699</v>
      </c>
      <c r="C4" s="1">
        <v>1942</v>
      </c>
      <c r="D4" s="1">
        <f t="shared" si="0"/>
        <v>83</v>
      </c>
      <c r="E4" s="1" t="s">
        <v>10</v>
      </c>
      <c r="F4" s="1">
        <v>54</v>
      </c>
      <c r="G4" s="4">
        <v>1.58</v>
      </c>
      <c r="H4" s="4">
        <f t="shared" si="1"/>
        <v>21.631148854350261</v>
      </c>
      <c r="I4" s="1" t="s">
        <v>11</v>
      </c>
      <c r="J4" s="1">
        <v>35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2</v>
      </c>
      <c r="R4" s="1">
        <v>0</v>
      </c>
      <c r="S4" s="1">
        <v>0</v>
      </c>
      <c r="T4" s="3">
        <v>45667</v>
      </c>
      <c r="U4" s="1">
        <v>2.7</v>
      </c>
      <c r="V4" s="1">
        <v>109</v>
      </c>
      <c r="W4" s="1">
        <v>75</v>
      </c>
      <c r="X4" s="5">
        <f t="shared" si="2"/>
        <v>1</v>
      </c>
      <c r="Y4" s="1">
        <v>8</v>
      </c>
      <c r="Z4" s="1">
        <v>0</v>
      </c>
      <c r="AA4" s="1">
        <f t="shared" si="4"/>
        <v>0</v>
      </c>
      <c r="AB4" s="1">
        <v>33</v>
      </c>
      <c r="AC4" s="1">
        <f t="shared" si="5"/>
        <v>10</v>
      </c>
      <c r="AD4" s="1">
        <f t="shared" si="3"/>
        <v>0</v>
      </c>
      <c r="AE4" s="1">
        <f t="shared" si="6"/>
        <v>133.88</v>
      </c>
      <c r="AF4" s="1">
        <f t="shared" si="7"/>
        <v>1</v>
      </c>
      <c r="AG4" s="1">
        <v>3</v>
      </c>
      <c r="AH4" s="1">
        <v>8</v>
      </c>
      <c r="AI4" s="1">
        <v>24</v>
      </c>
      <c r="AJ4" s="1">
        <v>13</v>
      </c>
      <c r="AK4" s="1">
        <v>42</v>
      </c>
      <c r="AL4" s="1">
        <v>40</v>
      </c>
      <c r="AM4" s="1">
        <v>553</v>
      </c>
      <c r="AN4" s="4">
        <f>IF(E4="M",0.197*G4*G4/AM4+0.179*F4-0.019,0.221*G4*G4/AM4+0.117*F4-0.881)</f>
        <v>9.6478893142857149</v>
      </c>
      <c r="AO4" s="1">
        <f>0.52*AL4</f>
        <v>20.8</v>
      </c>
      <c r="AP4" s="4">
        <f>AN4/G4/G4</f>
        <v>3.8647209238446223</v>
      </c>
      <c r="AQ4" s="6">
        <f>IF(AND(E4="F",OR(AI4&lt;16,AH4&gt;15),AP4&lt;5.5),1,IF(AND(E4="M",OR(AI4&lt;27,AH4&gt;15),AP4&lt;7),1,0))</f>
        <v>1</v>
      </c>
      <c r="AR4" s="6">
        <f t="shared" ref="AR4:AR32" si="15">IF(AND(AQ4=1,AG4&gt;4),1,0)</f>
        <v>0</v>
      </c>
      <c r="AS4" s="1">
        <v>1</v>
      </c>
      <c r="AT4" s="1">
        <f t="shared" si="8"/>
        <v>0</v>
      </c>
      <c r="AU4" s="1">
        <f t="shared" si="9"/>
        <v>1</v>
      </c>
      <c r="AV4" s="1" t="str">
        <f t="shared" si="10"/>
        <v>préfragile</v>
      </c>
      <c r="AW4" s="1">
        <v>0</v>
      </c>
      <c r="AX4" s="1">
        <f t="shared" si="11"/>
        <v>0</v>
      </c>
      <c r="AY4" s="1">
        <v>2</v>
      </c>
      <c r="AZ4" s="1">
        <f t="shared" si="12"/>
        <v>0</v>
      </c>
      <c r="BA4" s="1">
        <v>0</v>
      </c>
      <c r="BB4" s="1">
        <f t="shared" si="13"/>
        <v>0</v>
      </c>
      <c r="BC4" s="1">
        <v>4</v>
      </c>
      <c r="BD4" s="1">
        <f t="shared" si="14"/>
        <v>0</v>
      </c>
      <c r="BE4" s="1">
        <f>7*15</f>
        <v>105</v>
      </c>
      <c r="BO4" s="3"/>
      <c r="BV4" s="3"/>
    </row>
    <row r="5" spans="1:83" x14ac:dyDescent="0.2">
      <c r="A5" s="1">
        <v>4</v>
      </c>
      <c r="B5" s="3">
        <v>45699</v>
      </c>
      <c r="C5" s="1">
        <v>1949</v>
      </c>
      <c r="D5" s="1">
        <f t="shared" si="0"/>
        <v>76</v>
      </c>
      <c r="E5" s="1" t="s">
        <v>12</v>
      </c>
      <c r="F5" s="1">
        <v>175</v>
      </c>
      <c r="G5" s="4">
        <v>1.7</v>
      </c>
      <c r="H5" s="4">
        <f t="shared" si="1"/>
        <v>60.553633217993081</v>
      </c>
      <c r="I5" s="1" t="s">
        <v>11</v>
      </c>
      <c r="J5" s="1">
        <v>40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3">
        <v>45700</v>
      </c>
      <c r="U5" s="1">
        <v>2.35</v>
      </c>
      <c r="V5" s="1">
        <v>75</v>
      </c>
      <c r="W5" s="1">
        <v>48</v>
      </c>
      <c r="X5" s="5">
        <f t="shared" si="2"/>
        <v>1</v>
      </c>
      <c r="Y5" s="1">
        <v>8</v>
      </c>
      <c r="Z5" s="1">
        <v>7</v>
      </c>
      <c r="AA5" s="1">
        <f t="shared" si="4"/>
        <v>1</v>
      </c>
      <c r="AB5" s="1">
        <v>54</v>
      </c>
      <c r="AC5" s="1">
        <f t="shared" si="5"/>
        <v>7</v>
      </c>
      <c r="AD5" s="1">
        <f>IF(AC5&gt;=11,1,0)</f>
        <v>0</v>
      </c>
      <c r="AE5" s="1">
        <f t="shared" si="6"/>
        <v>31.320000000000007</v>
      </c>
      <c r="AF5" s="1">
        <f t="shared" si="7"/>
        <v>0</v>
      </c>
      <c r="AG5" s="1">
        <v>14</v>
      </c>
      <c r="AI5" s="1">
        <v>22</v>
      </c>
      <c r="AS5" s="1">
        <v>3</v>
      </c>
      <c r="AT5" s="1">
        <f t="shared" si="8"/>
        <v>1</v>
      </c>
      <c r="AU5" s="1">
        <f t="shared" si="9"/>
        <v>0</v>
      </c>
      <c r="AV5" s="1" t="str">
        <f t="shared" si="10"/>
        <v>fragile</v>
      </c>
      <c r="AW5" s="1">
        <v>4</v>
      </c>
      <c r="AX5" s="1">
        <f t="shared" si="11"/>
        <v>1</v>
      </c>
      <c r="AY5" s="1">
        <v>6</v>
      </c>
      <c r="AZ5" s="1">
        <f t="shared" si="12"/>
        <v>1</v>
      </c>
      <c r="BA5" s="1">
        <v>3</v>
      </c>
      <c r="BB5" s="1">
        <f t="shared" si="13"/>
        <v>0</v>
      </c>
      <c r="BC5" s="1">
        <v>11</v>
      </c>
      <c r="BD5" s="1">
        <f t="shared" si="14"/>
        <v>1</v>
      </c>
      <c r="BE5" s="1">
        <v>77</v>
      </c>
      <c r="BO5" s="3"/>
      <c r="BV5" s="3"/>
    </row>
    <row r="6" spans="1:83" x14ac:dyDescent="0.2">
      <c r="A6" s="1">
        <v>5</v>
      </c>
      <c r="B6" s="3">
        <v>45701</v>
      </c>
      <c r="C6" s="1">
        <v>1948</v>
      </c>
      <c r="D6" s="1">
        <f t="shared" si="0"/>
        <v>77</v>
      </c>
      <c r="E6" s="1" t="s">
        <v>10</v>
      </c>
      <c r="F6" s="1">
        <v>77</v>
      </c>
      <c r="G6" s="4">
        <v>1.68</v>
      </c>
      <c r="H6" s="4">
        <f t="shared" si="1"/>
        <v>27.281746031746035</v>
      </c>
      <c r="I6" s="1" t="s">
        <v>11</v>
      </c>
      <c r="J6" s="1">
        <v>60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3">
        <v>45627</v>
      </c>
      <c r="U6" s="1">
        <v>2.48</v>
      </c>
      <c r="V6" s="1">
        <v>74</v>
      </c>
      <c r="W6" s="1">
        <v>41</v>
      </c>
      <c r="X6" s="5">
        <f t="shared" si="2"/>
        <v>3</v>
      </c>
      <c r="Y6" s="1">
        <v>8</v>
      </c>
      <c r="Z6" s="1">
        <v>1</v>
      </c>
      <c r="AA6" s="1">
        <f t="shared" si="4"/>
        <v>0</v>
      </c>
      <c r="AB6" s="1">
        <v>41</v>
      </c>
      <c r="AC6" s="1">
        <f t="shared" si="5"/>
        <v>1</v>
      </c>
      <c r="AD6" s="1">
        <f t="shared" ref="AD6:AD48" si="16">IF(AC6&gt;=11,1,0)</f>
        <v>0</v>
      </c>
      <c r="AE6" s="1">
        <f t="shared" si="6"/>
        <v>86.86</v>
      </c>
      <c r="AF6" s="1">
        <f t="shared" si="7"/>
        <v>0</v>
      </c>
      <c r="AG6" s="1">
        <v>4</v>
      </c>
      <c r="AH6" s="1">
        <v>13</v>
      </c>
      <c r="AI6" s="1">
        <v>26</v>
      </c>
      <c r="AJ6" s="1">
        <v>20</v>
      </c>
      <c r="AK6" s="1">
        <v>58</v>
      </c>
      <c r="AL6" s="1">
        <v>55</v>
      </c>
      <c r="AO6" s="1">
        <f t="shared" ref="AO6:AO16" si="17">0.52*AL6</f>
        <v>28.6</v>
      </c>
      <c r="AQ6" s="6">
        <f t="shared" ref="AQ6:AQ16" si="18">IF(AND(E6="F",OR(AI6&lt;16,AH6&gt;15),AP6&lt;5.5),1,IF(AND(E6="M",OR(AI6&lt;27,AH6&gt;15),AP6&lt;7),1,0))</f>
        <v>1</v>
      </c>
      <c r="AR6" s="6">
        <f t="shared" si="15"/>
        <v>0</v>
      </c>
      <c r="AS6" s="1">
        <v>2</v>
      </c>
      <c r="AT6" s="1">
        <f t="shared" si="8"/>
        <v>0</v>
      </c>
      <c r="AU6" s="1">
        <f t="shared" si="9"/>
        <v>1</v>
      </c>
      <c r="AV6" s="1" t="str">
        <f t="shared" si="10"/>
        <v>préfragile</v>
      </c>
      <c r="AW6" s="1">
        <v>1</v>
      </c>
      <c r="AX6" s="1">
        <f t="shared" si="11"/>
        <v>0</v>
      </c>
      <c r="AY6" s="1">
        <v>4</v>
      </c>
      <c r="AZ6" s="1">
        <f t="shared" si="12"/>
        <v>0</v>
      </c>
      <c r="BA6" s="1">
        <v>0</v>
      </c>
      <c r="BB6" s="1">
        <f t="shared" si="13"/>
        <v>0</v>
      </c>
      <c r="BC6" s="1">
        <v>10</v>
      </c>
      <c r="BD6" s="1">
        <f t="shared" si="14"/>
        <v>0</v>
      </c>
      <c r="BE6" s="1">
        <v>74</v>
      </c>
      <c r="BV6" s="3"/>
    </row>
    <row r="7" spans="1:83" x14ac:dyDescent="0.2">
      <c r="A7" s="1">
        <v>6</v>
      </c>
      <c r="B7" s="3">
        <v>45701</v>
      </c>
      <c r="C7" s="1">
        <v>1946</v>
      </c>
      <c r="D7" s="1">
        <f t="shared" si="0"/>
        <v>79</v>
      </c>
      <c r="E7" s="1" t="s">
        <v>10</v>
      </c>
      <c r="F7" s="1">
        <v>90</v>
      </c>
      <c r="G7" s="4">
        <v>1.76</v>
      </c>
      <c r="H7" s="4">
        <f t="shared" si="1"/>
        <v>29.0547520661157</v>
      </c>
      <c r="I7" s="1" t="s">
        <v>11</v>
      </c>
      <c r="J7" s="1">
        <v>40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3</v>
      </c>
      <c r="R7" s="1">
        <v>0</v>
      </c>
      <c r="S7" s="1">
        <v>0</v>
      </c>
      <c r="T7" s="3">
        <v>45545</v>
      </c>
      <c r="U7" s="1">
        <v>3.46</v>
      </c>
      <c r="V7" s="1">
        <v>92</v>
      </c>
      <c r="W7" s="1">
        <v>51</v>
      </c>
      <c r="X7" s="5">
        <f t="shared" si="2"/>
        <v>2</v>
      </c>
      <c r="Y7" s="1">
        <v>5</v>
      </c>
      <c r="Z7" s="1">
        <v>1</v>
      </c>
      <c r="AA7" s="1">
        <f t="shared" si="4"/>
        <v>0</v>
      </c>
      <c r="AB7" s="1">
        <v>40</v>
      </c>
      <c r="AC7" s="1">
        <f t="shared" si="5"/>
        <v>1</v>
      </c>
      <c r="AD7" s="1">
        <f t="shared" si="16"/>
        <v>0</v>
      </c>
      <c r="AE7" s="1">
        <f t="shared" si="6"/>
        <v>111.27999999999999</v>
      </c>
      <c r="AF7" s="1">
        <f t="shared" si="7"/>
        <v>1</v>
      </c>
      <c r="AG7" s="1">
        <v>2.7</v>
      </c>
      <c r="AH7" s="1">
        <v>15</v>
      </c>
      <c r="AI7" s="1">
        <v>20</v>
      </c>
      <c r="AJ7" s="1">
        <v>24</v>
      </c>
      <c r="AK7" s="1">
        <v>67</v>
      </c>
      <c r="AL7" s="1">
        <v>64</v>
      </c>
      <c r="AM7" s="1">
        <v>379</v>
      </c>
      <c r="AN7" s="4">
        <f t="shared" ref="AN7:AN16" si="19">IF(E7="M",0.197*G7*G7/AM7+0.179*F7-0.019,0.221*G7*G7/AM7+0.117*F7-0.881)</f>
        <v>16.092610098153035</v>
      </c>
      <c r="AO7" s="1">
        <f t="shared" si="17"/>
        <v>33.28</v>
      </c>
      <c r="AP7" s="4">
        <f t="shared" ref="AP7:AP16" si="20">AN7/G7/G7</f>
        <v>5.1951866277611813</v>
      </c>
      <c r="AQ7" s="6">
        <f t="shared" si="18"/>
        <v>1</v>
      </c>
      <c r="AR7" s="6">
        <f t="shared" si="15"/>
        <v>0</v>
      </c>
      <c r="AS7" s="1">
        <v>1</v>
      </c>
      <c r="AT7" s="1">
        <f t="shared" si="8"/>
        <v>0</v>
      </c>
      <c r="AU7" s="1">
        <f t="shared" si="9"/>
        <v>1</v>
      </c>
      <c r="AV7" s="1" t="str">
        <f t="shared" si="10"/>
        <v>préfragile</v>
      </c>
      <c r="AW7" s="1">
        <v>2</v>
      </c>
      <c r="AX7" s="1">
        <f t="shared" si="11"/>
        <v>0</v>
      </c>
      <c r="AY7" s="1">
        <v>4</v>
      </c>
      <c r="AZ7" s="1">
        <f t="shared" si="12"/>
        <v>0</v>
      </c>
      <c r="BA7" s="1">
        <v>0</v>
      </c>
      <c r="BB7" s="1">
        <f t="shared" si="13"/>
        <v>0</v>
      </c>
      <c r="BC7" s="1">
        <v>7</v>
      </c>
      <c r="BD7" s="1">
        <f t="shared" si="14"/>
        <v>0</v>
      </c>
      <c r="BE7" s="1">
        <v>67</v>
      </c>
      <c r="BO7" s="3"/>
      <c r="BV7" s="3"/>
    </row>
    <row r="8" spans="1:83" x14ac:dyDescent="0.2">
      <c r="A8" s="1">
        <v>7</v>
      </c>
      <c r="B8" s="3">
        <v>45702</v>
      </c>
      <c r="C8" s="1">
        <v>1955</v>
      </c>
      <c r="D8" s="1">
        <f t="shared" si="0"/>
        <v>70</v>
      </c>
      <c r="E8" s="1" t="s">
        <v>10</v>
      </c>
      <c r="F8" s="1">
        <v>88</v>
      </c>
      <c r="G8" s="4">
        <v>1.75</v>
      </c>
      <c r="H8" s="4">
        <f t="shared" si="1"/>
        <v>28.73469387755102</v>
      </c>
      <c r="I8" s="1" t="s">
        <v>11</v>
      </c>
      <c r="J8" s="1">
        <v>35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3">
        <v>45689</v>
      </c>
      <c r="U8" s="1">
        <v>4.2</v>
      </c>
      <c r="V8" s="1">
        <v>108</v>
      </c>
      <c r="W8" s="1">
        <v>105</v>
      </c>
      <c r="X8" s="5">
        <f t="shared" si="2"/>
        <v>1</v>
      </c>
      <c r="Y8" s="1">
        <v>5</v>
      </c>
      <c r="Z8" s="1">
        <v>0</v>
      </c>
      <c r="AA8" s="1">
        <f t="shared" si="4"/>
        <v>0</v>
      </c>
      <c r="AB8" s="1">
        <v>40</v>
      </c>
      <c r="AC8" s="1">
        <f t="shared" si="5"/>
        <v>0</v>
      </c>
      <c r="AD8" s="1">
        <f t="shared" si="16"/>
        <v>0</v>
      </c>
      <c r="AE8" s="1">
        <f t="shared" si="6"/>
        <v>68.61999999999999</v>
      </c>
      <c r="AF8" s="1">
        <f t="shared" si="7"/>
        <v>0</v>
      </c>
      <c r="AG8" s="1">
        <v>2.7</v>
      </c>
      <c r="AH8" s="1">
        <v>11</v>
      </c>
      <c r="AI8" s="1">
        <v>32</v>
      </c>
      <c r="AJ8" s="1">
        <v>24</v>
      </c>
      <c r="AK8" s="1">
        <v>62</v>
      </c>
      <c r="AL8" s="1">
        <v>59</v>
      </c>
      <c r="AM8" s="1">
        <v>454</v>
      </c>
      <c r="AN8" s="4">
        <f t="shared" si="19"/>
        <v>15.734328882158589</v>
      </c>
      <c r="AO8" s="1">
        <f t="shared" si="17"/>
        <v>30.68</v>
      </c>
      <c r="AP8" s="4">
        <f t="shared" si="20"/>
        <v>5.1377400431538254</v>
      </c>
      <c r="AQ8" s="6">
        <f t="shared" si="18"/>
        <v>0</v>
      </c>
      <c r="AR8" s="6">
        <f t="shared" si="15"/>
        <v>0</v>
      </c>
      <c r="AS8" s="1">
        <v>1</v>
      </c>
      <c r="AT8" s="1">
        <f t="shared" si="8"/>
        <v>0</v>
      </c>
      <c r="AU8" s="1">
        <f t="shared" si="9"/>
        <v>1</v>
      </c>
      <c r="AV8" s="1" t="str">
        <f t="shared" si="10"/>
        <v>préfragile</v>
      </c>
      <c r="AW8" s="1">
        <v>2</v>
      </c>
      <c r="AX8" s="1">
        <f t="shared" si="11"/>
        <v>0</v>
      </c>
      <c r="AY8" s="1">
        <v>3</v>
      </c>
      <c r="AZ8" s="1">
        <f t="shared" si="12"/>
        <v>0</v>
      </c>
      <c r="BA8" s="1">
        <v>3</v>
      </c>
      <c r="BB8" s="1">
        <f t="shared" si="13"/>
        <v>0</v>
      </c>
      <c r="BC8" s="1">
        <v>18</v>
      </c>
      <c r="BD8" s="1">
        <f t="shared" si="14"/>
        <v>1</v>
      </c>
      <c r="BE8" s="1">
        <v>58</v>
      </c>
      <c r="BO8" s="3"/>
      <c r="BV8" s="3"/>
    </row>
    <row r="9" spans="1:83" x14ac:dyDescent="0.2">
      <c r="A9" s="1">
        <v>8</v>
      </c>
      <c r="B9" s="3">
        <v>45706</v>
      </c>
      <c r="C9" s="1">
        <v>1949</v>
      </c>
      <c r="D9" s="1">
        <f t="shared" si="0"/>
        <v>76</v>
      </c>
      <c r="E9" s="1" t="s">
        <v>10</v>
      </c>
      <c r="F9" s="1">
        <v>84</v>
      </c>
      <c r="G9" s="4">
        <v>1.72</v>
      </c>
      <c r="H9" s="4">
        <f t="shared" si="1"/>
        <v>28.393726338561386</v>
      </c>
      <c r="I9" s="1" t="s">
        <v>11</v>
      </c>
      <c r="J9" s="1">
        <v>10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3">
        <v>45706</v>
      </c>
      <c r="U9" s="1">
        <v>2.76</v>
      </c>
      <c r="V9" s="1">
        <v>106</v>
      </c>
      <c r="W9" s="1">
        <v>66</v>
      </c>
      <c r="X9" s="5">
        <f t="shared" si="2"/>
        <v>1</v>
      </c>
      <c r="Y9" s="1">
        <v>6</v>
      </c>
      <c r="Z9" s="1">
        <v>3</v>
      </c>
      <c r="AA9" s="1">
        <f t="shared" si="4"/>
        <v>0</v>
      </c>
      <c r="AB9" s="1">
        <v>37</v>
      </c>
      <c r="AC9" s="1">
        <f t="shared" si="5"/>
        <v>3</v>
      </c>
      <c r="AD9" s="1">
        <f t="shared" si="16"/>
        <v>0</v>
      </c>
      <c r="AE9" s="1">
        <f t="shared" si="6"/>
        <v>92.44</v>
      </c>
      <c r="AF9" s="1">
        <f t="shared" si="7"/>
        <v>0</v>
      </c>
      <c r="AG9" s="1">
        <v>9</v>
      </c>
      <c r="AH9" s="1">
        <v>19</v>
      </c>
      <c r="AI9" s="1">
        <v>30</v>
      </c>
      <c r="AJ9" s="1">
        <v>26</v>
      </c>
      <c r="AK9" s="1">
        <v>60</v>
      </c>
      <c r="AL9" s="1">
        <v>57</v>
      </c>
      <c r="AM9" s="1">
        <v>433</v>
      </c>
      <c r="AN9" s="4">
        <f t="shared" si="19"/>
        <v>15.018345969515011</v>
      </c>
      <c r="AO9" s="1">
        <f t="shared" si="17"/>
        <v>29.64</v>
      </c>
      <c r="AP9" s="4">
        <f t="shared" si="20"/>
        <v>5.0765095894791141</v>
      </c>
      <c r="AQ9" s="6">
        <f t="shared" si="18"/>
        <v>1</v>
      </c>
      <c r="AR9" s="6">
        <f t="shared" si="15"/>
        <v>1</v>
      </c>
      <c r="AS9" s="1">
        <v>2</v>
      </c>
      <c r="AT9" s="1">
        <f t="shared" si="8"/>
        <v>0</v>
      </c>
      <c r="AU9" s="1">
        <f t="shared" si="9"/>
        <v>1</v>
      </c>
      <c r="AV9" s="1" t="str">
        <f t="shared" si="10"/>
        <v>préfragile</v>
      </c>
      <c r="AW9" s="1">
        <v>2</v>
      </c>
      <c r="AX9" s="1">
        <f t="shared" si="11"/>
        <v>0</v>
      </c>
      <c r="AY9" s="1">
        <v>4</v>
      </c>
      <c r="AZ9" s="1">
        <f t="shared" si="12"/>
        <v>0</v>
      </c>
      <c r="BA9" s="1">
        <v>1</v>
      </c>
      <c r="BB9" s="1">
        <f t="shared" si="13"/>
        <v>0</v>
      </c>
      <c r="BC9" s="1">
        <v>4</v>
      </c>
      <c r="BD9" s="1">
        <f t="shared" si="14"/>
        <v>0</v>
      </c>
      <c r="BE9" s="1">
        <v>98</v>
      </c>
      <c r="BV9" s="3"/>
      <c r="CE9" s="3"/>
    </row>
    <row r="10" spans="1:83" x14ac:dyDescent="0.2">
      <c r="A10" s="1">
        <v>9</v>
      </c>
      <c r="B10" s="3">
        <v>45712</v>
      </c>
      <c r="C10" s="1">
        <v>1950</v>
      </c>
      <c r="D10" s="1">
        <f t="shared" si="0"/>
        <v>75</v>
      </c>
      <c r="E10" s="1" t="s">
        <v>12</v>
      </c>
      <c r="F10" s="1">
        <v>64</v>
      </c>
      <c r="G10" s="4">
        <v>1.56</v>
      </c>
      <c r="H10" s="4">
        <f t="shared" si="1"/>
        <v>26.298487836949374</v>
      </c>
      <c r="I10" s="1" t="s">
        <v>13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3">
        <v>45712</v>
      </c>
      <c r="U10" s="1">
        <v>1.65</v>
      </c>
      <c r="V10" s="1">
        <v>96</v>
      </c>
      <c r="W10" s="1">
        <v>43</v>
      </c>
      <c r="X10" s="5">
        <f t="shared" si="2"/>
        <v>1</v>
      </c>
      <c r="Y10" s="1">
        <v>4</v>
      </c>
      <c r="Z10" s="1">
        <v>0</v>
      </c>
      <c r="AA10" s="1">
        <f t="shared" si="4"/>
        <v>0</v>
      </c>
      <c r="AB10" s="1">
        <v>36</v>
      </c>
      <c r="AC10" s="1">
        <f t="shared" si="5"/>
        <v>0</v>
      </c>
      <c r="AD10" s="1">
        <f t="shared" si="16"/>
        <v>0</v>
      </c>
      <c r="AE10" s="1">
        <f t="shared" si="6"/>
        <v>120.1</v>
      </c>
      <c r="AF10" s="1">
        <f t="shared" si="7"/>
        <v>1</v>
      </c>
      <c r="AG10" s="1">
        <v>2.5</v>
      </c>
      <c r="AH10" s="1">
        <v>13</v>
      </c>
      <c r="AI10" s="1">
        <v>16</v>
      </c>
      <c r="AJ10" s="1">
        <v>22</v>
      </c>
      <c r="AK10" s="1">
        <v>42</v>
      </c>
      <c r="AL10" s="1">
        <v>39</v>
      </c>
      <c r="AM10" s="1">
        <v>489</v>
      </c>
      <c r="AN10" s="4">
        <f t="shared" si="19"/>
        <v>6.6080998478527606</v>
      </c>
      <c r="AO10" s="1">
        <f t="shared" si="17"/>
        <v>20.28</v>
      </c>
      <c r="AP10" s="4">
        <f t="shared" si="20"/>
        <v>2.7153598980328568</v>
      </c>
      <c r="AQ10" s="6">
        <f t="shared" si="18"/>
        <v>0</v>
      </c>
      <c r="AR10" s="6">
        <f t="shared" si="15"/>
        <v>0</v>
      </c>
      <c r="AS10" s="1">
        <v>1</v>
      </c>
      <c r="AT10" s="1">
        <f t="shared" si="8"/>
        <v>0</v>
      </c>
      <c r="AU10" s="1">
        <f t="shared" si="9"/>
        <v>1</v>
      </c>
      <c r="AV10" s="1" t="str">
        <f t="shared" si="10"/>
        <v>préfragile</v>
      </c>
      <c r="AW10" s="1">
        <v>0</v>
      </c>
      <c r="AX10" s="1">
        <f t="shared" si="11"/>
        <v>0</v>
      </c>
      <c r="AY10" s="1">
        <v>2</v>
      </c>
      <c r="AZ10" s="1">
        <f t="shared" si="12"/>
        <v>0</v>
      </c>
      <c r="BA10" s="1">
        <v>1</v>
      </c>
      <c r="BB10" s="1">
        <f t="shared" si="13"/>
        <v>0</v>
      </c>
      <c r="BC10" s="1">
        <v>10</v>
      </c>
      <c r="BD10" s="1">
        <f t="shared" si="14"/>
        <v>0</v>
      </c>
      <c r="BE10" s="1">
        <v>50</v>
      </c>
      <c r="BV10" s="3"/>
    </row>
    <row r="11" spans="1:83" x14ac:dyDescent="0.2">
      <c r="A11" s="1">
        <v>10</v>
      </c>
      <c r="B11" s="3">
        <v>45715</v>
      </c>
      <c r="C11" s="1">
        <v>1952</v>
      </c>
      <c r="D11" s="1">
        <f t="shared" si="0"/>
        <v>73</v>
      </c>
      <c r="E11" s="1" t="s">
        <v>10</v>
      </c>
      <c r="F11" s="1">
        <v>76</v>
      </c>
      <c r="G11" s="4">
        <v>1.72</v>
      </c>
      <c r="H11" s="4">
        <f t="shared" si="1"/>
        <v>25.689561925365062</v>
      </c>
      <c r="I11" s="1" t="s">
        <v>11</v>
      </c>
      <c r="J11" s="1">
        <v>60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2</v>
      </c>
      <c r="R11" s="1">
        <v>0</v>
      </c>
      <c r="S11" s="1">
        <v>0</v>
      </c>
      <c r="T11" s="3">
        <v>45706</v>
      </c>
      <c r="U11" s="1">
        <v>2.4900000000000002</v>
      </c>
      <c r="V11" s="1">
        <v>66</v>
      </c>
      <c r="W11" s="1">
        <v>56</v>
      </c>
      <c r="X11" s="5">
        <f t="shared" si="2"/>
        <v>2</v>
      </c>
      <c r="Y11" s="1">
        <v>7</v>
      </c>
      <c r="Z11" s="1">
        <v>1</v>
      </c>
      <c r="AA11" s="1">
        <f t="shared" si="4"/>
        <v>0</v>
      </c>
      <c r="AB11" s="1">
        <v>35</v>
      </c>
      <c r="AC11" s="1">
        <f t="shared" si="5"/>
        <v>1</v>
      </c>
      <c r="AD11" s="1">
        <f t="shared" si="16"/>
        <v>0</v>
      </c>
      <c r="AE11" s="1">
        <f t="shared" si="6"/>
        <v>136.94</v>
      </c>
      <c r="AF11" s="1">
        <f t="shared" si="7"/>
        <v>1</v>
      </c>
      <c r="AG11" s="1">
        <v>4</v>
      </c>
      <c r="AH11" s="1">
        <v>17</v>
      </c>
      <c r="AI11" s="1">
        <v>18</v>
      </c>
      <c r="AJ11" s="1">
        <v>22</v>
      </c>
      <c r="AK11" s="1">
        <v>57</v>
      </c>
      <c r="AL11" s="1">
        <v>54</v>
      </c>
      <c r="AM11" s="1">
        <v>505</v>
      </c>
      <c r="AN11" s="4">
        <f t="shared" si="19"/>
        <v>13.58615406891089</v>
      </c>
      <c r="AO11" s="1">
        <f t="shared" si="17"/>
        <v>28.080000000000002</v>
      </c>
      <c r="AP11" s="4">
        <f t="shared" si="20"/>
        <v>4.5923992931689055</v>
      </c>
      <c r="AQ11" s="6">
        <f t="shared" si="18"/>
        <v>1</v>
      </c>
      <c r="AR11" s="6">
        <f t="shared" si="15"/>
        <v>0</v>
      </c>
      <c r="AS11" s="1">
        <v>2</v>
      </c>
      <c r="AT11" s="1">
        <f t="shared" si="8"/>
        <v>0</v>
      </c>
      <c r="AU11" s="1">
        <f t="shared" si="9"/>
        <v>1</v>
      </c>
      <c r="AV11" s="1" t="str">
        <f t="shared" si="10"/>
        <v>préfragile</v>
      </c>
      <c r="AW11" s="1">
        <v>3</v>
      </c>
      <c r="AX11" s="1">
        <f t="shared" si="11"/>
        <v>1</v>
      </c>
      <c r="AY11" s="1">
        <v>2</v>
      </c>
      <c r="AZ11" s="1">
        <f t="shared" si="12"/>
        <v>0</v>
      </c>
      <c r="BA11" s="1">
        <v>3</v>
      </c>
      <c r="BB11" s="1">
        <f t="shared" si="13"/>
        <v>0</v>
      </c>
      <c r="BC11" s="1">
        <v>10</v>
      </c>
      <c r="BD11" s="1">
        <f t="shared" si="14"/>
        <v>0</v>
      </c>
      <c r="BE11" s="1">
        <v>70</v>
      </c>
      <c r="BO11" s="3"/>
      <c r="BV11" s="3"/>
    </row>
    <row r="12" spans="1:83" x14ac:dyDescent="0.2">
      <c r="A12" s="1">
        <v>11</v>
      </c>
      <c r="B12" s="3">
        <v>45861</v>
      </c>
      <c r="C12" s="1">
        <v>1945</v>
      </c>
      <c r="D12" s="1">
        <f t="shared" si="0"/>
        <v>80</v>
      </c>
      <c r="E12" s="1" t="s">
        <v>12</v>
      </c>
      <c r="F12" s="1">
        <v>50</v>
      </c>
      <c r="G12" s="4">
        <v>1.7</v>
      </c>
      <c r="H12" s="4">
        <f t="shared" si="1"/>
        <v>17.301038062283737</v>
      </c>
      <c r="I12" s="1" t="s">
        <v>13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2</v>
      </c>
      <c r="R12" s="1">
        <v>0</v>
      </c>
      <c r="S12" s="1">
        <v>0</v>
      </c>
      <c r="T12" s="3">
        <v>45743</v>
      </c>
      <c r="U12" s="1">
        <v>1.9</v>
      </c>
      <c r="V12" s="1">
        <v>67</v>
      </c>
      <c r="W12" s="1">
        <v>72</v>
      </c>
      <c r="X12" s="5">
        <f t="shared" si="2"/>
        <v>1</v>
      </c>
      <c r="Y12" s="1">
        <v>4</v>
      </c>
      <c r="Z12" s="1">
        <v>1</v>
      </c>
      <c r="AA12" s="1">
        <f t="shared" si="4"/>
        <v>0</v>
      </c>
      <c r="AB12" s="1">
        <v>34</v>
      </c>
      <c r="AC12" s="1">
        <f t="shared" si="5"/>
        <v>1</v>
      </c>
      <c r="AD12" s="1">
        <f t="shared" si="16"/>
        <v>0</v>
      </c>
      <c r="AE12" s="1">
        <f t="shared" si="6"/>
        <v>89.94</v>
      </c>
      <c r="AF12" s="1">
        <f t="shared" si="7"/>
        <v>0</v>
      </c>
      <c r="AG12" s="1">
        <v>2.2000000000000002</v>
      </c>
      <c r="AH12" s="1">
        <v>11</v>
      </c>
      <c r="AI12" s="1">
        <v>24</v>
      </c>
      <c r="AJ12" s="1">
        <v>9</v>
      </c>
      <c r="AK12" s="1">
        <v>41</v>
      </c>
      <c r="AL12" s="1">
        <v>39</v>
      </c>
      <c r="AM12" s="1">
        <v>499</v>
      </c>
      <c r="AN12" s="4">
        <f t="shared" si="19"/>
        <v>4.9702799398797595</v>
      </c>
      <c r="AO12" s="1">
        <f t="shared" si="17"/>
        <v>20.28</v>
      </c>
      <c r="AP12" s="4">
        <f t="shared" si="20"/>
        <v>1.7198200484013009</v>
      </c>
      <c r="AQ12" s="6">
        <f t="shared" si="18"/>
        <v>0</v>
      </c>
      <c r="AR12" s="6">
        <f t="shared" si="15"/>
        <v>0</v>
      </c>
      <c r="AS12" s="1">
        <v>1</v>
      </c>
      <c r="AT12" s="1">
        <f t="shared" si="8"/>
        <v>0</v>
      </c>
      <c r="AU12" s="1">
        <f t="shared" si="9"/>
        <v>1</v>
      </c>
      <c r="AV12" s="1" t="str">
        <f t="shared" si="10"/>
        <v>préfragile</v>
      </c>
      <c r="AW12" s="1">
        <v>2</v>
      </c>
      <c r="AX12" s="1">
        <f t="shared" si="11"/>
        <v>0</v>
      </c>
      <c r="AY12" s="1">
        <v>2</v>
      </c>
      <c r="AZ12" s="1">
        <f t="shared" si="12"/>
        <v>0</v>
      </c>
      <c r="BA12" s="1">
        <v>2</v>
      </c>
      <c r="BB12" s="1">
        <f t="shared" si="13"/>
        <v>0</v>
      </c>
      <c r="BC12" s="1">
        <v>13</v>
      </c>
      <c r="BD12" s="1">
        <f t="shared" si="14"/>
        <v>1</v>
      </c>
      <c r="BE12" s="1">
        <f>4+4+4+5+3+6+4+4+7+6+6+6+6+4+7</f>
        <v>76</v>
      </c>
      <c r="BV12" s="3"/>
    </row>
    <row r="13" spans="1:83" x14ac:dyDescent="0.2">
      <c r="A13" s="1">
        <v>12</v>
      </c>
      <c r="B13" s="3">
        <v>45764</v>
      </c>
      <c r="C13" s="1">
        <v>1959</v>
      </c>
      <c r="D13" s="1">
        <f t="shared" si="0"/>
        <v>66</v>
      </c>
      <c r="E13" s="1" t="s">
        <v>10</v>
      </c>
      <c r="F13" s="1">
        <v>96</v>
      </c>
      <c r="G13" s="4">
        <v>1.68</v>
      </c>
      <c r="H13" s="4">
        <f t="shared" si="1"/>
        <v>34.013605442176875</v>
      </c>
      <c r="I13" s="1" t="s">
        <v>12</v>
      </c>
      <c r="J13" s="1">
        <v>40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3">
        <v>45754</v>
      </c>
      <c r="V13" s="1">
        <v>67</v>
      </c>
      <c r="W13" s="1">
        <v>52</v>
      </c>
      <c r="X13" s="5">
        <f t="shared" si="2"/>
        <v>3</v>
      </c>
      <c r="Y13" s="1">
        <v>4</v>
      </c>
      <c r="Z13" s="1">
        <v>0</v>
      </c>
      <c r="AA13" s="1">
        <f t="shared" si="4"/>
        <v>0</v>
      </c>
      <c r="AB13" s="1">
        <v>42</v>
      </c>
      <c r="AC13" s="1">
        <f t="shared" si="5"/>
        <v>0</v>
      </c>
      <c r="AD13" s="1">
        <f t="shared" si="16"/>
        <v>0</v>
      </c>
      <c r="AE13" s="1">
        <f t="shared" si="6"/>
        <v>63.04</v>
      </c>
      <c r="AF13" s="1">
        <f t="shared" si="7"/>
        <v>0</v>
      </c>
      <c r="AG13" s="1">
        <v>2.5</v>
      </c>
      <c r="AH13" s="1">
        <v>11</v>
      </c>
      <c r="AI13" s="1">
        <v>30</v>
      </c>
      <c r="AJ13" s="1">
        <v>35</v>
      </c>
      <c r="AK13" s="1">
        <v>63</v>
      </c>
      <c r="AL13" s="1">
        <v>59</v>
      </c>
      <c r="AM13" s="1">
        <v>413</v>
      </c>
      <c r="AN13" s="4">
        <f t="shared" si="19"/>
        <v>17.166346277966102</v>
      </c>
      <c r="AO13" s="1">
        <f t="shared" si="17"/>
        <v>30.68</v>
      </c>
      <c r="AP13" s="4">
        <f t="shared" si="20"/>
        <v>6.0821805123179224</v>
      </c>
      <c r="AQ13" s="6">
        <f t="shared" si="18"/>
        <v>0</v>
      </c>
      <c r="AR13" s="6">
        <f t="shared" si="15"/>
        <v>0</v>
      </c>
      <c r="AS13" s="1">
        <v>2</v>
      </c>
      <c r="AT13" s="1">
        <f t="shared" si="8"/>
        <v>0</v>
      </c>
      <c r="AU13" s="1">
        <f t="shared" si="9"/>
        <v>1</v>
      </c>
      <c r="AV13" s="1" t="str">
        <f t="shared" si="10"/>
        <v>préfragile</v>
      </c>
      <c r="AW13" s="1">
        <v>1</v>
      </c>
      <c r="AX13" s="1">
        <f t="shared" si="11"/>
        <v>0</v>
      </c>
      <c r="AY13" s="1">
        <v>2</v>
      </c>
      <c r="AZ13" s="1">
        <f t="shared" si="12"/>
        <v>0</v>
      </c>
      <c r="BA13" s="1">
        <v>1</v>
      </c>
      <c r="BB13" s="1">
        <f t="shared" si="13"/>
        <v>0</v>
      </c>
      <c r="BC13" s="1">
        <v>13</v>
      </c>
      <c r="BD13" s="1">
        <f t="shared" si="14"/>
        <v>1</v>
      </c>
      <c r="BE13" s="1">
        <v>88</v>
      </c>
      <c r="BV13" s="3"/>
    </row>
    <row r="14" spans="1:83" x14ac:dyDescent="0.2">
      <c r="A14" s="1">
        <v>13</v>
      </c>
      <c r="B14" s="3">
        <v>45765</v>
      </c>
      <c r="C14" s="1">
        <v>1937</v>
      </c>
      <c r="D14" s="1">
        <f t="shared" si="0"/>
        <v>88</v>
      </c>
      <c r="E14" s="1" t="s">
        <v>10</v>
      </c>
      <c r="F14" s="1">
        <v>65</v>
      </c>
      <c r="G14" s="4">
        <v>1.61</v>
      </c>
      <c r="H14" s="4">
        <f t="shared" si="1"/>
        <v>25.076193048107708</v>
      </c>
      <c r="I14" s="1" t="s">
        <v>11</v>
      </c>
      <c r="J14" s="1">
        <v>10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3">
        <v>45765</v>
      </c>
      <c r="U14" s="1">
        <v>3.3</v>
      </c>
      <c r="V14" s="1">
        <v>122</v>
      </c>
      <c r="W14" s="1">
        <v>56</v>
      </c>
      <c r="X14" s="5">
        <f t="shared" si="2"/>
        <v>1</v>
      </c>
      <c r="Y14" s="1">
        <v>10</v>
      </c>
      <c r="Z14" s="1">
        <v>0</v>
      </c>
      <c r="AA14" s="1">
        <f t="shared" si="4"/>
        <v>0</v>
      </c>
      <c r="AB14" s="1">
        <v>33</v>
      </c>
      <c r="AC14" s="1">
        <f t="shared" si="5"/>
        <v>10</v>
      </c>
      <c r="AD14" s="1">
        <f t="shared" si="16"/>
        <v>0</v>
      </c>
      <c r="AE14" s="1">
        <f t="shared" si="6"/>
        <v>136.97999999999999</v>
      </c>
      <c r="AF14" s="1">
        <f t="shared" si="7"/>
        <v>1</v>
      </c>
      <c r="AG14" s="1">
        <v>2.5</v>
      </c>
      <c r="AH14" s="1">
        <v>12</v>
      </c>
      <c r="AI14" s="1">
        <v>24</v>
      </c>
      <c r="AJ14" s="1">
        <v>15</v>
      </c>
      <c r="AK14" s="1">
        <v>51</v>
      </c>
      <c r="AL14" s="1">
        <v>49</v>
      </c>
      <c r="AM14" s="1">
        <v>394</v>
      </c>
      <c r="AN14" s="4">
        <f t="shared" si="19"/>
        <v>11.61729605</v>
      </c>
      <c r="AO14" s="1">
        <f t="shared" si="17"/>
        <v>25.48</v>
      </c>
      <c r="AP14" s="4">
        <f t="shared" si="20"/>
        <v>4.4818085914895249</v>
      </c>
      <c r="AQ14" s="6">
        <f t="shared" si="18"/>
        <v>1</v>
      </c>
      <c r="AR14" s="6">
        <f t="shared" si="15"/>
        <v>0</v>
      </c>
      <c r="AS14" s="1">
        <v>2</v>
      </c>
      <c r="AT14" s="1">
        <f t="shared" si="8"/>
        <v>0</v>
      </c>
      <c r="AU14" s="1">
        <f t="shared" si="9"/>
        <v>1</v>
      </c>
      <c r="AV14" s="1" t="str">
        <f t="shared" si="10"/>
        <v>préfragile</v>
      </c>
      <c r="AW14" s="1">
        <v>2</v>
      </c>
      <c r="AX14" s="1">
        <f t="shared" si="11"/>
        <v>0</v>
      </c>
      <c r="AY14" s="1">
        <v>2</v>
      </c>
      <c r="AZ14" s="1">
        <f t="shared" si="12"/>
        <v>0</v>
      </c>
      <c r="BA14" s="1">
        <v>0</v>
      </c>
      <c r="BB14" s="1">
        <f t="shared" si="13"/>
        <v>0</v>
      </c>
      <c r="BC14" s="1">
        <v>12</v>
      </c>
      <c r="BD14" s="1">
        <f t="shared" si="14"/>
        <v>1</v>
      </c>
      <c r="BE14" s="1">
        <f>4+7+7+4+4+6+7+7+7+7+6+6+5+6+7</f>
        <v>90</v>
      </c>
      <c r="BV14" s="3"/>
    </row>
    <row r="15" spans="1:83" x14ac:dyDescent="0.2">
      <c r="A15" s="1">
        <v>14</v>
      </c>
      <c r="B15" s="3">
        <v>45775</v>
      </c>
      <c r="C15" s="1">
        <v>1947</v>
      </c>
      <c r="D15" s="1">
        <f t="shared" si="0"/>
        <v>78</v>
      </c>
      <c r="E15" s="1" t="s">
        <v>10</v>
      </c>
      <c r="F15" s="1">
        <v>80</v>
      </c>
      <c r="G15" s="4">
        <v>1.77</v>
      </c>
      <c r="H15" s="4">
        <f t="shared" si="1"/>
        <v>25.535446391522232</v>
      </c>
      <c r="I15" s="1" t="s">
        <v>11</v>
      </c>
      <c r="J15" s="1">
        <v>40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3">
        <v>45741</v>
      </c>
      <c r="U15" s="1">
        <v>4.8</v>
      </c>
      <c r="V15" s="1">
        <v>123</v>
      </c>
      <c r="W15" s="1">
        <v>78</v>
      </c>
      <c r="X15" s="5">
        <f t="shared" si="2"/>
        <v>1</v>
      </c>
      <c r="Y15" s="1">
        <v>4</v>
      </c>
      <c r="Z15" s="1">
        <v>0</v>
      </c>
      <c r="AA15" s="1">
        <f t="shared" si="4"/>
        <v>0</v>
      </c>
      <c r="AB15" s="1">
        <v>40</v>
      </c>
      <c r="AC15" s="1">
        <f t="shared" si="5"/>
        <v>0</v>
      </c>
      <c r="AD15" s="1">
        <f t="shared" si="16"/>
        <v>0</v>
      </c>
      <c r="AE15" s="1">
        <f t="shared" si="6"/>
        <v>67.399999999999991</v>
      </c>
      <c r="AF15" s="1">
        <f t="shared" si="7"/>
        <v>0</v>
      </c>
      <c r="AG15" s="1">
        <v>1.8</v>
      </c>
      <c r="AH15" s="1">
        <v>9</v>
      </c>
      <c r="AI15" s="1">
        <v>34</v>
      </c>
      <c r="AJ15" s="1">
        <v>16</v>
      </c>
      <c r="AK15" s="1">
        <v>64</v>
      </c>
      <c r="AL15" s="1">
        <v>60</v>
      </c>
      <c r="AM15" s="1">
        <v>369</v>
      </c>
      <c r="AN15" s="4">
        <f t="shared" si="19"/>
        <v>14.30267257804878</v>
      </c>
      <c r="AO15" s="1">
        <f t="shared" si="17"/>
        <v>31.200000000000003</v>
      </c>
      <c r="AP15" s="4">
        <f t="shared" si="20"/>
        <v>4.5653141109032456</v>
      </c>
      <c r="AQ15" s="6">
        <f t="shared" si="18"/>
        <v>0</v>
      </c>
      <c r="AR15" s="6">
        <f t="shared" si="15"/>
        <v>0</v>
      </c>
      <c r="AS15" s="1">
        <v>0</v>
      </c>
      <c r="AT15" s="1">
        <f t="shared" si="8"/>
        <v>0</v>
      </c>
      <c r="AU15" s="1">
        <f t="shared" si="9"/>
        <v>0</v>
      </c>
      <c r="AV15" s="1" t="str">
        <f t="shared" si="10"/>
        <v>robuste</v>
      </c>
      <c r="AW15" s="1">
        <v>0</v>
      </c>
      <c r="AX15" s="1">
        <f t="shared" si="11"/>
        <v>0</v>
      </c>
      <c r="AY15" s="1">
        <v>1</v>
      </c>
      <c r="AZ15" s="1">
        <f t="shared" si="12"/>
        <v>0</v>
      </c>
      <c r="BA15" s="1">
        <v>0</v>
      </c>
      <c r="BB15" s="1">
        <f t="shared" si="13"/>
        <v>0</v>
      </c>
      <c r="BC15" s="1">
        <v>7</v>
      </c>
      <c r="BD15" s="1">
        <f t="shared" si="14"/>
        <v>0</v>
      </c>
      <c r="BE15" s="1">
        <f>6+7+5+7+7+7+7+6+7+7+7+7+7+6+7</f>
        <v>100</v>
      </c>
      <c r="BV15" s="3"/>
    </row>
    <row r="16" spans="1:83" x14ac:dyDescent="0.2">
      <c r="A16" s="1">
        <v>15</v>
      </c>
      <c r="B16" s="3">
        <v>45771</v>
      </c>
      <c r="C16" s="1">
        <v>1954</v>
      </c>
      <c r="D16" s="1">
        <f t="shared" si="0"/>
        <v>71</v>
      </c>
      <c r="E16" s="1" t="s">
        <v>12</v>
      </c>
      <c r="F16" s="1">
        <v>37</v>
      </c>
      <c r="G16" s="4">
        <v>1.5</v>
      </c>
      <c r="H16" s="4">
        <f t="shared" si="1"/>
        <v>16.444444444444446</v>
      </c>
      <c r="I16" s="1" t="s">
        <v>13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3">
        <v>45717</v>
      </c>
      <c r="U16" s="1">
        <v>1.6</v>
      </c>
      <c r="V16" s="1">
        <v>86</v>
      </c>
      <c r="W16" s="1">
        <v>84</v>
      </c>
      <c r="X16" s="5">
        <f t="shared" si="2"/>
        <v>0</v>
      </c>
      <c r="Y16" s="1">
        <v>4</v>
      </c>
      <c r="Z16" s="1">
        <v>0</v>
      </c>
      <c r="AA16" s="1">
        <f t="shared" si="4"/>
        <v>0</v>
      </c>
      <c r="AB16" s="1">
        <v>28</v>
      </c>
      <c r="AC16" s="1">
        <f t="shared" si="5"/>
        <v>10</v>
      </c>
      <c r="AD16" s="1">
        <f t="shared" si="16"/>
        <v>0</v>
      </c>
      <c r="AE16" s="1">
        <f t="shared" si="6"/>
        <v>122.77999999999997</v>
      </c>
      <c r="AF16" s="1">
        <f t="shared" si="7"/>
        <v>1</v>
      </c>
      <c r="AG16" s="1">
        <v>3.2</v>
      </c>
      <c r="AH16" s="1">
        <v>7</v>
      </c>
      <c r="AI16" s="1">
        <v>20</v>
      </c>
      <c r="AJ16" s="1">
        <v>5</v>
      </c>
      <c r="AK16" s="1">
        <v>32</v>
      </c>
      <c r="AL16" s="1">
        <v>30</v>
      </c>
      <c r="AM16" s="1">
        <v>672</v>
      </c>
      <c r="AN16" s="4">
        <f t="shared" si="19"/>
        <v>3.4487399553571434</v>
      </c>
      <c r="AO16" s="1">
        <f t="shared" si="17"/>
        <v>15.600000000000001</v>
      </c>
      <c r="AP16" s="4">
        <f t="shared" si="20"/>
        <v>1.5327733134920638</v>
      </c>
      <c r="AQ16" s="6">
        <f t="shared" si="18"/>
        <v>0</v>
      </c>
      <c r="AR16" s="6">
        <f t="shared" si="15"/>
        <v>0</v>
      </c>
      <c r="AS16" s="1">
        <v>0</v>
      </c>
      <c r="AT16" s="1">
        <f t="shared" si="8"/>
        <v>0</v>
      </c>
      <c r="AU16" s="1">
        <f t="shared" si="9"/>
        <v>0</v>
      </c>
      <c r="AV16" s="1" t="str">
        <f t="shared" si="10"/>
        <v>robuste</v>
      </c>
      <c r="AW16" s="1">
        <v>0</v>
      </c>
      <c r="AX16" s="1">
        <f t="shared" si="11"/>
        <v>0</v>
      </c>
      <c r="AY16" s="1">
        <v>1</v>
      </c>
      <c r="AZ16" s="1">
        <f t="shared" si="12"/>
        <v>0</v>
      </c>
      <c r="BA16" s="1">
        <v>0</v>
      </c>
      <c r="BB16" s="1">
        <f t="shared" si="13"/>
        <v>0</v>
      </c>
      <c r="BC16" s="1">
        <v>15</v>
      </c>
      <c r="BD16" s="1">
        <f t="shared" si="14"/>
        <v>1</v>
      </c>
      <c r="BE16" s="1">
        <v>90</v>
      </c>
      <c r="BV16" s="3"/>
    </row>
    <row r="17" spans="1:74" x14ac:dyDescent="0.2">
      <c r="A17" s="1">
        <v>16</v>
      </c>
      <c r="B17" s="3">
        <v>45777</v>
      </c>
      <c r="C17" s="1">
        <v>1943</v>
      </c>
      <c r="D17" s="1">
        <f t="shared" si="0"/>
        <v>82</v>
      </c>
      <c r="E17" s="1" t="s">
        <v>10</v>
      </c>
      <c r="F17" s="1">
        <v>80</v>
      </c>
      <c r="G17" s="4">
        <v>1.73</v>
      </c>
      <c r="H17" s="4">
        <f t="shared" si="1"/>
        <v>26.729927495071671</v>
      </c>
      <c r="I17" s="1" t="s">
        <v>13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3">
        <v>45777</v>
      </c>
      <c r="U17" s="1">
        <v>4.0999999999999996</v>
      </c>
      <c r="V17" s="1">
        <v>118</v>
      </c>
      <c r="W17" s="1">
        <v>76</v>
      </c>
      <c r="X17" s="5">
        <f>IF(E17="M",1,0)+IF(D17&lt;61,0,IF(D17&lt;=65,1,2))+IF(V17&gt;=75,0,IF(V17&gt;=50,1,2))+IF(W17&gt;=55,0,IF(W17&gt;=36,1,2))+IF(OR(BG18="FPI",BG18="inclassable"),0,-2)</f>
        <v>1</v>
      </c>
      <c r="Y17" s="1">
        <v>11</v>
      </c>
      <c r="Z17" s="1">
        <v>0</v>
      </c>
      <c r="AA17" s="1">
        <f t="shared" si="4"/>
        <v>0</v>
      </c>
      <c r="AB17" s="1">
        <v>38</v>
      </c>
      <c r="AC17" s="1">
        <f t="shared" si="5"/>
        <v>0</v>
      </c>
      <c r="AD17" s="1">
        <f t="shared" si="16"/>
        <v>0</v>
      </c>
      <c r="AE17" s="1">
        <f t="shared" si="6"/>
        <v>116.24</v>
      </c>
      <c r="AF17" s="1">
        <f t="shared" si="7"/>
        <v>1</v>
      </c>
      <c r="AG17" s="1">
        <v>4.9000000000000004</v>
      </c>
      <c r="AH17" s="1">
        <v>16</v>
      </c>
      <c r="AI17" s="1">
        <v>22</v>
      </c>
      <c r="AS17" s="1">
        <v>1</v>
      </c>
      <c r="AT17" s="1">
        <f t="shared" si="8"/>
        <v>0</v>
      </c>
      <c r="AU17" s="1">
        <f t="shared" si="9"/>
        <v>1</v>
      </c>
      <c r="AV17" s="1" t="str">
        <f t="shared" si="10"/>
        <v>préfragile</v>
      </c>
      <c r="AW17" s="1">
        <v>1</v>
      </c>
      <c r="AX17" s="1">
        <f t="shared" si="11"/>
        <v>0</v>
      </c>
      <c r="AY17" s="1">
        <v>3</v>
      </c>
      <c r="AZ17" s="1">
        <f t="shared" si="12"/>
        <v>0</v>
      </c>
      <c r="BA17" s="1">
        <v>4</v>
      </c>
      <c r="BB17" s="1">
        <f t="shared" si="13"/>
        <v>0</v>
      </c>
      <c r="BC17" s="1">
        <v>9</v>
      </c>
      <c r="BD17" s="1">
        <f t="shared" si="14"/>
        <v>0</v>
      </c>
      <c r="BE17" s="1">
        <f>5+7+5+6+1+6+7+7+7+7+7+6+7+7+7</f>
        <v>92</v>
      </c>
      <c r="BV17" s="3"/>
    </row>
    <row r="18" spans="1:74" x14ac:dyDescent="0.2">
      <c r="A18" s="1">
        <v>17</v>
      </c>
      <c r="B18" s="3">
        <v>45791</v>
      </c>
      <c r="C18" s="1">
        <v>1955</v>
      </c>
      <c r="D18" s="1">
        <f t="shared" si="0"/>
        <v>70</v>
      </c>
      <c r="E18" s="1" t="s">
        <v>10</v>
      </c>
      <c r="F18" s="1">
        <v>64</v>
      </c>
      <c r="G18" s="4">
        <v>1.78</v>
      </c>
      <c r="H18" s="4">
        <f t="shared" si="1"/>
        <v>20.1994697639187</v>
      </c>
      <c r="I18" s="1" t="s">
        <v>11</v>
      </c>
      <c r="J18" s="1">
        <v>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3">
        <v>45652</v>
      </c>
      <c r="U18" s="1">
        <v>4.2</v>
      </c>
      <c r="V18" s="1">
        <v>99</v>
      </c>
      <c r="W18" s="1" t="s">
        <v>14</v>
      </c>
      <c r="X18" s="5">
        <f>IF(E18="M",1,0)+IF(D18&lt;61,0,IF(D18&lt;=65,1,2))+IF(V18&gt;=75,0,IF(V18&gt;=50,1,2))+IF(W18&gt;=55,0,IF(W18&gt;=36,1,2))+IF(OR(BG20="FPI",BG20="inclassable"),0,-2)</f>
        <v>1</v>
      </c>
      <c r="Y18" s="1">
        <v>4</v>
      </c>
      <c r="Z18" s="1">
        <v>0</v>
      </c>
      <c r="AA18" s="1">
        <f t="shared" si="4"/>
        <v>0</v>
      </c>
      <c r="AB18" s="1">
        <v>34</v>
      </c>
      <c r="AC18" s="1">
        <f t="shared" si="5"/>
        <v>0</v>
      </c>
      <c r="AD18" s="1">
        <f t="shared" si="16"/>
        <v>0</v>
      </c>
      <c r="AE18" s="1">
        <f t="shared" si="6"/>
        <v>47.019999999999996</v>
      </c>
      <c r="AF18" s="1">
        <f t="shared" si="7"/>
        <v>0</v>
      </c>
      <c r="AG18" s="1">
        <v>3</v>
      </c>
      <c r="AH18" s="1">
        <v>10</v>
      </c>
      <c r="AI18" s="1">
        <v>48</v>
      </c>
      <c r="AJ18" s="1">
        <v>9</v>
      </c>
      <c r="AK18" s="1">
        <v>54</v>
      </c>
      <c r="AL18" s="1">
        <v>52</v>
      </c>
      <c r="AM18" s="1">
        <v>506</v>
      </c>
      <c r="AN18" s="4">
        <f t="shared" ref="AN18:AN27" si="21">IF(E18="M",0.197*G18*G18/AM18+0.179*F18-0.019,0.221*G18*G18/AM18+0.117*F18-0.881)</f>
        <v>11.438233547035573</v>
      </c>
      <c r="AO18" s="1">
        <f t="shared" ref="AO18:AO32" si="22">0.52*AL18</f>
        <v>27.04</v>
      </c>
      <c r="AP18" s="4">
        <f t="shared" ref="AP18:AP32" si="23">AN18/G18/G18</f>
        <v>3.6100976982185244</v>
      </c>
      <c r="AQ18" s="6">
        <f t="shared" ref="AQ18:AQ32" si="24">IF(AND(E18="F",OR(AI18&lt;16,AH18&gt;15),AP18&lt;5.5),1,IF(AND(E18="M",OR(AI18&lt;27,AH18&gt;15),AP18&lt;7),1,0))</f>
        <v>0</v>
      </c>
      <c r="AR18" s="6">
        <f t="shared" si="15"/>
        <v>0</v>
      </c>
      <c r="AS18" s="1">
        <v>0</v>
      </c>
      <c r="AT18" s="1">
        <f t="shared" si="8"/>
        <v>0</v>
      </c>
      <c r="AU18" s="1">
        <f t="shared" si="9"/>
        <v>0</v>
      </c>
      <c r="AV18" s="1" t="str">
        <f t="shared" si="10"/>
        <v>robuste</v>
      </c>
      <c r="AW18" s="1">
        <v>0</v>
      </c>
      <c r="AX18" s="1">
        <f t="shared" si="11"/>
        <v>0</v>
      </c>
      <c r="AY18" s="1">
        <v>1</v>
      </c>
      <c r="AZ18" s="1">
        <f t="shared" si="12"/>
        <v>0</v>
      </c>
      <c r="BA18" s="1">
        <v>0</v>
      </c>
      <c r="BB18" s="1">
        <f t="shared" si="13"/>
        <v>0</v>
      </c>
      <c r="BC18" s="1">
        <v>12</v>
      </c>
      <c r="BD18" s="1">
        <f t="shared" si="14"/>
        <v>1</v>
      </c>
      <c r="BE18" s="1">
        <f>5+7+3+7+3+4+7+4+7+6+7+4+7+5+7</f>
        <v>83</v>
      </c>
      <c r="BV18" s="3"/>
    </row>
    <row r="19" spans="1:74" x14ac:dyDescent="0.2">
      <c r="A19" s="1">
        <v>18</v>
      </c>
      <c r="B19" s="3">
        <v>45791</v>
      </c>
      <c r="C19" s="1">
        <v>1942</v>
      </c>
      <c r="D19" s="1">
        <f t="shared" si="0"/>
        <v>83</v>
      </c>
      <c r="E19" s="1" t="s">
        <v>10</v>
      </c>
      <c r="F19" s="1">
        <v>89</v>
      </c>
      <c r="G19" s="4">
        <v>1.7</v>
      </c>
      <c r="H19" s="4">
        <f t="shared" si="1"/>
        <v>30.79584775086505</v>
      </c>
      <c r="I19" s="1" t="s">
        <v>11</v>
      </c>
      <c r="J19" s="1">
        <v>35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3">
        <v>45758</v>
      </c>
      <c r="U19" s="1">
        <v>3.4</v>
      </c>
      <c r="V19" s="1">
        <v>109</v>
      </c>
      <c r="W19" s="1">
        <v>50</v>
      </c>
      <c r="X19" s="5">
        <f>IF(E19="M",1,0)+IF(D19&lt;61,0,IF(D19&lt;=65,1,2))+IF(V19&gt;=75,0,IF(V19&gt;=50,1,2))+IF(W19&gt;=55,0,IF(W19&gt;=36,1,2))+IF(OR(BG19="FPI",BG19="inclassable"),0,-2)</f>
        <v>2</v>
      </c>
      <c r="Y19" s="1">
        <v>6</v>
      </c>
      <c r="Z19" s="1">
        <v>0</v>
      </c>
      <c r="AA19" s="1">
        <f t="shared" si="4"/>
        <v>0</v>
      </c>
      <c r="AB19" s="1">
        <v>36</v>
      </c>
      <c r="AC19" s="1">
        <f t="shared" si="5"/>
        <v>0</v>
      </c>
      <c r="AD19" s="1">
        <f t="shared" si="16"/>
        <v>0</v>
      </c>
      <c r="AE19" s="1">
        <f t="shared" si="6"/>
        <v>70.52</v>
      </c>
      <c r="AF19" s="1">
        <f t="shared" si="7"/>
        <v>0</v>
      </c>
      <c r="AG19" s="1">
        <v>3</v>
      </c>
      <c r="AH19" s="1">
        <v>13</v>
      </c>
      <c r="AI19" s="1">
        <v>40</v>
      </c>
      <c r="AJ19" s="1">
        <v>28</v>
      </c>
      <c r="AK19" s="1">
        <v>64</v>
      </c>
      <c r="AL19" s="1">
        <v>61</v>
      </c>
      <c r="AM19" s="1">
        <v>363</v>
      </c>
      <c r="AN19" s="4">
        <f t="shared" si="21"/>
        <v>15.913568402203856</v>
      </c>
      <c r="AO19" s="1">
        <f t="shared" si="22"/>
        <v>31.720000000000002</v>
      </c>
      <c r="AP19" s="4">
        <f t="shared" si="23"/>
        <v>5.506425052665695</v>
      </c>
      <c r="AQ19" s="6">
        <f t="shared" si="24"/>
        <v>0</v>
      </c>
      <c r="AR19" s="6">
        <f t="shared" si="15"/>
        <v>0</v>
      </c>
      <c r="AS19" s="1">
        <v>0</v>
      </c>
      <c r="AT19" s="1">
        <f t="shared" si="8"/>
        <v>0</v>
      </c>
      <c r="AU19" s="1">
        <f t="shared" si="9"/>
        <v>0</v>
      </c>
      <c r="AV19" s="1" t="str">
        <f t="shared" si="10"/>
        <v>robuste</v>
      </c>
      <c r="AW19" s="1">
        <v>0</v>
      </c>
      <c r="AX19" s="1">
        <f t="shared" si="11"/>
        <v>0</v>
      </c>
      <c r="AY19" s="1">
        <v>3</v>
      </c>
      <c r="AZ19" s="1">
        <f t="shared" si="12"/>
        <v>0</v>
      </c>
      <c r="BA19" s="1">
        <v>2</v>
      </c>
      <c r="BB19" s="1">
        <f t="shared" si="13"/>
        <v>0</v>
      </c>
      <c r="BC19" s="1">
        <v>8</v>
      </c>
      <c r="BD19" s="1">
        <f t="shared" si="14"/>
        <v>0</v>
      </c>
      <c r="BE19" s="1">
        <f>5+7+5+3+3+6+7+4+6+6+4+4+7+5+7</f>
        <v>79</v>
      </c>
      <c r="BV19" s="3"/>
    </row>
    <row r="20" spans="1:74" x14ac:dyDescent="0.2">
      <c r="A20" s="1">
        <v>19</v>
      </c>
      <c r="B20" s="3">
        <v>45792</v>
      </c>
      <c r="C20" s="1">
        <v>1954</v>
      </c>
      <c r="D20" s="1">
        <f t="shared" si="0"/>
        <v>71</v>
      </c>
      <c r="E20" s="1" t="s">
        <v>10</v>
      </c>
      <c r="F20" s="1">
        <v>87</v>
      </c>
      <c r="G20" s="4">
        <v>1.74</v>
      </c>
      <c r="H20" s="4">
        <f t="shared" si="1"/>
        <v>28.735632183908045</v>
      </c>
      <c r="I20" s="1" t="s">
        <v>12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3">
        <v>45792</v>
      </c>
      <c r="U20" s="1">
        <v>3.5</v>
      </c>
      <c r="V20" s="1">
        <v>99</v>
      </c>
      <c r="W20" s="1">
        <v>74</v>
      </c>
      <c r="X20" s="5" t="e">
        <f>IF(E20="M",1,0)+IF(D20&lt;61,0,IF(D20&lt;=65,1,2))+IF(V20&gt;=75,0,IF(V20&gt;=50,1,2))+IF(W20&gt;=55,0,IF(W20&gt;=36,1,2))+IF(OR(#REF!="FPI",#REF!="inclassable"),0,-2)</f>
        <v>#REF!</v>
      </c>
      <c r="Y20" s="1">
        <v>6</v>
      </c>
      <c r="Z20" s="1">
        <v>0</v>
      </c>
      <c r="AA20" s="1">
        <f t="shared" si="4"/>
        <v>0</v>
      </c>
      <c r="AB20" s="1">
        <v>41</v>
      </c>
      <c r="AC20" s="1">
        <f t="shared" si="5"/>
        <v>0</v>
      </c>
      <c r="AD20" s="1">
        <f t="shared" si="16"/>
        <v>0</v>
      </c>
      <c r="AE20" s="1">
        <f t="shared" si="6"/>
        <v>70.78</v>
      </c>
      <c r="AF20" s="1">
        <f t="shared" si="7"/>
        <v>0</v>
      </c>
      <c r="AG20" s="1">
        <v>2.2999999999999998</v>
      </c>
      <c r="AH20" s="1">
        <v>8</v>
      </c>
      <c r="AI20" s="1">
        <v>30</v>
      </c>
      <c r="AJ20" s="1">
        <v>24</v>
      </c>
      <c r="AK20" s="1">
        <v>65</v>
      </c>
      <c r="AL20" s="1">
        <v>61</v>
      </c>
      <c r="AM20" s="1">
        <v>369</v>
      </c>
      <c r="AN20" s="4">
        <f t="shared" si="21"/>
        <v>15.555616360975609</v>
      </c>
      <c r="AO20" s="1">
        <f t="shared" si="22"/>
        <v>31.720000000000002</v>
      </c>
      <c r="AP20" s="4">
        <f t="shared" si="23"/>
        <v>5.1379364384250259</v>
      </c>
      <c r="AQ20" s="6">
        <f t="shared" si="24"/>
        <v>0</v>
      </c>
      <c r="AR20" s="6">
        <f t="shared" si="15"/>
        <v>0</v>
      </c>
      <c r="AS20" s="1">
        <v>0</v>
      </c>
      <c r="AT20" s="1">
        <f t="shared" si="8"/>
        <v>0</v>
      </c>
      <c r="AU20" s="1">
        <f t="shared" si="9"/>
        <v>0</v>
      </c>
      <c r="AV20" s="1" t="str">
        <f t="shared" si="10"/>
        <v>robuste</v>
      </c>
      <c r="AW20" s="1">
        <v>0</v>
      </c>
      <c r="AX20" s="1">
        <f t="shared" si="11"/>
        <v>0</v>
      </c>
      <c r="AY20" s="1">
        <v>1</v>
      </c>
      <c r="AZ20" s="1">
        <f t="shared" si="12"/>
        <v>0</v>
      </c>
      <c r="BA20" s="1">
        <v>0</v>
      </c>
      <c r="BB20" s="1">
        <f t="shared" si="13"/>
        <v>0</v>
      </c>
      <c r="BC20" s="1">
        <v>11</v>
      </c>
      <c r="BD20" s="1">
        <f t="shared" si="14"/>
        <v>1</v>
      </c>
      <c r="BE20" s="1">
        <f>4+7+5+6+1+7+7+5+7+7+7+7+7+7+7</f>
        <v>91</v>
      </c>
      <c r="BV20" s="3"/>
    </row>
    <row r="21" spans="1:74" x14ac:dyDescent="0.2">
      <c r="A21" s="1">
        <v>20</v>
      </c>
      <c r="B21" s="3">
        <v>45799</v>
      </c>
      <c r="C21" s="1">
        <v>1945</v>
      </c>
      <c r="D21" s="1">
        <f t="shared" si="0"/>
        <v>80</v>
      </c>
      <c r="E21" s="1" t="s">
        <v>10</v>
      </c>
      <c r="F21" s="1">
        <v>53</v>
      </c>
      <c r="G21" s="4">
        <v>1.71</v>
      </c>
      <c r="H21" s="4">
        <f t="shared" si="1"/>
        <v>18.125235115078144</v>
      </c>
      <c r="I21" s="1" t="s">
        <v>13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3">
        <v>45627</v>
      </c>
      <c r="U21" s="1">
        <v>2.2999999999999998</v>
      </c>
      <c r="V21" s="1">
        <v>66</v>
      </c>
      <c r="W21" s="1">
        <v>46</v>
      </c>
      <c r="X21" s="5">
        <f t="shared" ref="X21:X48" si="25">IF(E21="M",1,0)+IF(D21&lt;61,0,IF(D21&lt;=65,1,2))+IF(V21&gt;=75,0,IF(V21&gt;=50,1,2))+IF(W21&gt;=55,0,IF(W21&gt;=36,1,2))+IF(OR(BG21="FPI",BG21="inclassable"),0,-2)</f>
        <v>3</v>
      </c>
      <c r="Y21" s="1">
        <v>5</v>
      </c>
      <c r="Z21" s="1">
        <v>1</v>
      </c>
      <c r="AA21" s="1">
        <f t="shared" si="4"/>
        <v>0</v>
      </c>
      <c r="AB21" s="1">
        <v>34</v>
      </c>
      <c r="AC21" s="1">
        <f t="shared" si="5"/>
        <v>1</v>
      </c>
      <c r="AD21" s="1">
        <f t="shared" si="16"/>
        <v>0</v>
      </c>
      <c r="AE21" s="1">
        <f t="shared" si="6"/>
        <v>127.38</v>
      </c>
      <c r="AF21" s="1">
        <f t="shared" si="7"/>
        <v>1</v>
      </c>
      <c r="AG21" s="1">
        <v>2.8</v>
      </c>
      <c r="AH21" s="1">
        <v>11</v>
      </c>
      <c r="AI21" s="1">
        <v>24</v>
      </c>
      <c r="AJ21" s="1">
        <v>7</v>
      </c>
      <c r="AK21" s="1">
        <v>48</v>
      </c>
      <c r="AL21" s="1">
        <v>46</v>
      </c>
      <c r="AM21" s="1">
        <v>452</v>
      </c>
      <c r="AN21" s="4">
        <f t="shared" si="21"/>
        <v>9.469274441814159</v>
      </c>
      <c r="AO21" s="1">
        <f t="shared" si="22"/>
        <v>23.92</v>
      </c>
      <c r="AP21" s="4">
        <f t="shared" si="23"/>
        <v>3.238355200510981</v>
      </c>
      <c r="AQ21" s="6">
        <f t="shared" si="24"/>
        <v>1</v>
      </c>
      <c r="AR21" s="6">
        <f t="shared" si="15"/>
        <v>0</v>
      </c>
      <c r="AS21" s="1">
        <v>3</v>
      </c>
      <c r="AT21" s="1">
        <f t="shared" si="8"/>
        <v>1</v>
      </c>
      <c r="AU21" s="1">
        <f t="shared" si="9"/>
        <v>0</v>
      </c>
      <c r="AV21" s="1" t="str">
        <f t="shared" si="10"/>
        <v>fragile</v>
      </c>
      <c r="AW21" s="1">
        <v>3</v>
      </c>
      <c r="AX21" s="1">
        <f t="shared" si="11"/>
        <v>1</v>
      </c>
      <c r="AY21" s="1">
        <v>4</v>
      </c>
      <c r="AZ21" s="1">
        <f t="shared" si="12"/>
        <v>0</v>
      </c>
      <c r="BA21" s="1">
        <v>4</v>
      </c>
      <c r="BB21" s="1">
        <f t="shared" si="13"/>
        <v>0</v>
      </c>
      <c r="BC21" s="1">
        <v>12</v>
      </c>
      <c r="BD21" s="1">
        <f t="shared" si="14"/>
        <v>1</v>
      </c>
      <c r="BE21" s="1">
        <f>1+6+1+1+3+3+4+3+5+2+3+3+3+6+7</f>
        <v>51</v>
      </c>
      <c r="BV21" s="3"/>
    </row>
    <row r="22" spans="1:74" x14ac:dyDescent="0.2">
      <c r="A22" s="1">
        <v>21</v>
      </c>
      <c r="B22" s="3">
        <v>45799</v>
      </c>
      <c r="C22" s="1">
        <v>1946</v>
      </c>
      <c r="D22" s="1">
        <f t="shared" si="0"/>
        <v>79</v>
      </c>
      <c r="E22" s="1" t="s">
        <v>10</v>
      </c>
      <c r="F22" s="1">
        <v>70</v>
      </c>
      <c r="G22" s="4">
        <v>1.7</v>
      </c>
      <c r="H22" s="4">
        <f t="shared" si="1"/>
        <v>24.221453287197235</v>
      </c>
      <c r="I22" s="1" t="s">
        <v>13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45757</v>
      </c>
      <c r="U22" s="1">
        <v>3.9</v>
      </c>
      <c r="V22" s="1">
        <v>105</v>
      </c>
      <c r="W22" s="1">
        <v>62</v>
      </c>
      <c r="X22" s="5">
        <f t="shared" si="25"/>
        <v>1</v>
      </c>
      <c r="Y22" s="1">
        <v>4</v>
      </c>
      <c r="Z22" s="1">
        <v>1</v>
      </c>
      <c r="AA22" s="1">
        <f t="shared" si="4"/>
        <v>0</v>
      </c>
      <c r="AB22" s="1">
        <v>35</v>
      </c>
      <c r="AC22" s="1">
        <f t="shared" si="5"/>
        <v>1</v>
      </c>
      <c r="AD22" s="1">
        <f t="shared" si="16"/>
        <v>0</v>
      </c>
      <c r="AE22" s="1">
        <f t="shared" si="6"/>
        <v>85.039999999999992</v>
      </c>
      <c r="AF22" s="1">
        <f t="shared" si="7"/>
        <v>0</v>
      </c>
      <c r="AG22" s="1">
        <v>2.6</v>
      </c>
      <c r="AH22" s="1">
        <v>11</v>
      </c>
      <c r="AI22" s="1">
        <v>36</v>
      </c>
      <c r="AJ22" s="1">
        <v>15</v>
      </c>
      <c r="AK22" s="1">
        <v>54</v>
      </c>
      <c r="AL22" s="1">
        <v>51</v>
      </c>
      <c r="AM22" s="1">
        <v>472</v>
      </c>
      <c r="AN22" s="4">
        <f t="shared" si="21"/>
        <v>12.512206207627118</v>
      </c>
      <c r="AO22" s="1">
        <f t="shared" si="22"/>
        <v>26.52</v>
      </c>
      <c r="AP22" s="4">
        <f t="shared" si="23"/>
        <v>4.3294831168259922</v>
      </c>
      <c r="AQ22" s="6">
        <f t="shared" si="24"/>
        <v>0</v>
      </c>
      <c r="AR22" s="6">
        <f t="shared" si="15"/>
        <v>0</v>
      </c>
      <c r="AS22" s="1">
        <v>1</v>
      </c>
      <c r="AT22" s="1">
        <f t="shared" si="8"/>
        <v>0</v>
      </c>
      <c r="AU22" s="1">
        <f t="shared" si="9"/>
        <v>1</v>
      </c>
      <c r="AV22" s="1" t="str">
        <f t="shared" si="10"/>
        <v>préfragile</v>
      </c>
      <c r="AW22" s="1">
        <v>1</v>
      </c>
      <c r="AX22" s="1">
        <f t="shared" si="11"/>
        <v>0</v>
      </c>
      <c r="AY22" s="1">
        <v>1</v>
      </c>
      <c r="AZ22" s="1">
        <f t="shared" si="12"/>
        <v>0</v>
      </c>
      <c r="BA22" s="1">
        <v>1</v>
      </c>
      <c r="BB22" s="1">
        <f t="shared" si="13"/>
        <v>0</v>
      </c>
      <c r="BC22" s="1">
        <v>7</v>
      </c>
      <c r="BD22" s="1">
        <f t="shared" si="14"/>
        <v>0</v>
      </c>
      <c r="BE22" s="1">
        <f>4+7+3+7+1+3+7+3+7+7+7+7+7+4+7</f>
        <v>81</v>
      </c>
      <c r="BV22" s="3"/>
    </row>
    <row r="23" spans="1:74" x14ac:dyDescent="0.2">
      <c r="A23" s="1">
        <v>22</v>
      </c>
      <c r="B23" s="3">
        <v>45805</v>
      </c>
      <c r="C23" s="1">
        <v>1950</v>
      </c>
      <c r="D23" s="1">
        <f t="shared" si="0"/>
        <v>75</v>
      </c>
      <c r="E23" s="1" t="s">
        <v>10</v>
      </c>
      <c r="F23" s="1">
        <v>109</v>
      </c>
      <c r="G23" s="4">
        <v>1.9</v>
      </c>
      <c r="H23" s="4">
        <f t="shared" si="1"/>
        <v>30.193905817174517</v>
      </c>
      <c r="I23" s="1" t="s">
        <v>11</v>
      </c>
      <c r="J23" s="1">
        <v>30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3">
        <v>45751</v>
      </c>
      <c r="V23" s="1">
        <v>65</v>
      </c>
      <c r="W23" s="1">
        <v>57</v>
      </c>
      <c r="X23" s="5">
        <f t="shared" si="25"/>
        <v>2</v>
      </c>
      <c r="Y23" s="1">
        <v>4</v>
      </c>
      <c r="Z23" s="1">
        <v>1</v>
      </c>
      <c r="AA23" s="1">
        <f t="shared" si="4"/>
        <v>0</v>
      </c>
      <c r="AB23" s="1">
        <v>38</v>
      </c>
      <c r="AC23" s="1">
        <f t="shared" si="5"/>
        <v>1</v>
      </c>
      <c r="AD23" s="1">
        <f t="shared" si="16"/>
        <v>0</v>
      </c>
      <c r="AE23" s="1">
        <f t="shared" si="6"/>
        <v>25.38</v>
      </c>
      <c r="AF23" s="1">
        <f t="shared" si="7"/>
        <v>0</v>
      </c>
      <c r="AG23" s="1">
        <v>3</v>
      </c>
      <c r="AH23" s="1">
        <v>12</v>
      </c>
      <c r="AI23" s="1">
        <v>50</v>
      </c>
      <c r="AJ23" s="1">
        <v>36</v>
      </c>
      <c r="AK23" s="1">
        <v>66</v>
      </c>
      <c r="AL23" s="1">
        <v>62</v>
      </c>
      <c r="AM23" s="1">
        <v>565</v>
      </c>
      <c r="AN23" s="4">
        <f t="shared" si="21"/>
        <v>19.493258707964603</v>
      </c>
      <c r="AO23" s="1">
        <f t="shared" si="22"/>
        <v>32.24</v>
      </c>
      <c r="AP23" s="4">
        <f t="shared" si="23"/>
        <v>5.3997946559458736</v>
      </c>
      <c r="AQ23" s="6">
        <f t="shared" si="24"/>
        <v>0</v>
      </c>
      <c r="AR23" s="6">
        <f t="shared" si="15"/>
        <v>0</v>
      </c>
      <c r="AS23" s="1">
        <v>0</v>
      </c>
      <c r="AT23" s="1">
        <f t="shared" si="8"/>
        <v>0</v>
      </c>
      <c r="AU23" s="1">
        <f t="shared" si="9"/>
        <v>0</v>
      </c>
      <c r="AV23" s="1" t="str">
        <f t="shared" si="10"/>
        <v>robuste</v>
      </c>
      <c r="AW23" s="1">
        <v>1</v>
      </c>
      <c r="AX23" s="1">
        <f t="shared" si="11"/>
        <v>0</v>
      </c>
      <c r="AY23" s="1">
        <v>2</v>
      </c>
      <c r="AZ23" s="1">
        <f t="shared" si="12"/>
        <v>0</v>
      </c>
      <c r="BA23" s="1">
        <v>0</v>
      </c>
      <c r="BB23" s="1">
        <f t="shared" si="13"/>
        <v>0</v>
      </c>
      <c r="BC23" s="1">
        <v>9</v>
      </c>
      <c r="BD23" s="1">
        <f t="shared" si="14"/>
        <v>0</v>
      </c>
      <c r="BE23" s="1">
        <f>5+6+5+7+4+7+7+5+7+7+7+4+5+5+7</f>
        <v>88</v>
      </c>
      <c r="BV23" s="3"/>
    </row>
    <row r="24" spans="1:74" x14ac:dyDescent="0.2">
      <c r="A24" s="1">
        <v>23</v>
      </c>
      <c r="B24" s="3">
        <v>45805</v>
      </c>
      <c r="C24" s="1">
        <v>1946</v>
      </c>
      <c r="D24" s="1">
        <f t="shared" si="0"/>
        <v>79</v>
      </c>
      <c r="E24" s="1" t="s">
        <v>10</v>
      </c>
      <c r="F24" s="1">
        <v>94</v>
      </c>
      <c r="G24" s="4">
        <v>1.6</v>
      </c>
      <c r="H24" s="4">
        <f t="shared" si="1"/>
        <v>36.71875</v>
      </c>
      <c r="I24" s="1" t="s">
        <v>11</v>
      </c>
      <c r="J24" s="1">
        <v>22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3">
        <v>45800</v>
      </c>
      <c r="U24" s="1">
        <v>2.2000000000000002</v>
      </c>
      <c r="V24" s="1">
        <v>79</v>
      </c>
      <c r="W24" s="1" t="s">
        <v>14</v>
      </c>
      <c r="X24" s="5">
        <f t="shared" si="25"/>
        <v>1</v>
      </c>
      <c r="Y24" s="1">
        <v>4</v>
      </c>
      <c r="Z24" s="1">
        <v>1</v>
      </c>
      <c r="AA24" s="1">
        <f t="shared" si="4"/>
        <v>0</v>
      </c>
      <c r="AB24" s="1">
        <v>42</v>
      </c>
      <c r="AC24" s="1">
        <f t="shared" si="5"/>
        <v>1</v>
      </c>
      <c r="AD24" s="1">
        <f t="shared" si="16"/>
        <v>0</v>
      </c>
      <c r="AE24" s="1">
        <f t="shared" si="6"/>
        <v>105.08999999999999</v>
      </c>
      <c r="AF24" s="1">
        <f t="shared" si="7"/>
        <v>1</v>
      </c>
      <c r="AG24" s="1">
        <v>5</v>
      </c>
      <c r="AH24" s="1">
        <v>15</v>
      </c>
      <c r="AI24" s="1">
        <v>19</v>
      </c>
      <c r="AJ24" s="1">
        <v>36</v>
      </c>
      <c r="AK24" s="1">
        <v>59</v>
      </c>
      <c r="AL24" s="1">
        <v>56</v>
      </c>
      <c r="AM24" s="1">
        <v>379</v>
      </c>
      <c r="AN24" s="4">
        <f t="shared" si="21"/>
        <v>16.808330659630609</v>
      </c>
      <c r="AO24" s="1">
        <f t="shared" si="22"/>
        <v>29.12</v>
      </c>
      <c r="AP24" s="4">
        <f t="shared" si="23"/>
        <v>6.5657541639182053</v>
      </c>
      <c r="AQ24" s="6">
        <f t="shared" si="24"/>
        <v>1</v>
      </c>
      <c r="AR24" s="6">
        <f t="shared" si="15"/>
        <v>1</v>
      </c>
      <c r="AS24" s="1">
        <v>2</v>
      </c>
      <c r="AT24" s="1">
        <f t="shared" si="8"/>
        <v>0</v>
      </c>
      <c r="AU24" s="1">
        <f t="shared" si="9"/>
        <v>1</v>
      </c>
      <c r="AV24" s="1" t="str">
        <f t="shared" si="10"/>
        <v>préfragile</v>
      </c>
      <c r="AW24" s="1">
        <v>2</v>
      </c>
      <c r="AX24" s="1">
        <f t="shared" si="11"/>
        <v>0</v>
      </c>
      <c r="AY24" s="1">
        <v>3</v>
      </c>
      <c r="AZ24" s="1">
        <f t="shared" si="12"/>
        <v>0</v>
      </c>
      <c r="BA24" s="1">
        <v>1</v>
      </c>
      <c r="BB24" s="1">
        <f t="shared" si="13"/>
        <v>0</v>
      </c>
      <c r="BC24" s="1">
        <v>14</v>
      </c>
      <c r="BD24" s="1">
        <f t="shared" ref="BD24:BD48" si="26">IF(BC24&gt;=11,1,0)</f>
        <v>1</v>
      </c>
      <c r="BE24" s="1">
        <f>1+5+1+1+1+1+3+3+1+2+1+7+1+7+7</f>
        <v>42</v>
      </c>
      <c r="BV24" s="3"/>
    </row>
    <row r="25" spans="1:74" x14ac:dyDescent="0.2">
      <c r="A25" s="1">
        <v>24</v>
      </c>
      <c r="B25" s="3">
        <v>45812</v>
      </c>
      <c r="C25" s="1">
        <v>1945</v>
      </c>
      <c r="D25" s="1">
        <f t="shared" si="0"/>
        <v>80</v>
      </c>
      <c r="E25" s="1" t="s">
        <v>10</v>
      </c>
      <c r="F25" s="1">
        <v>92</v>
      </c>
      <c r="G25" s="4">
        <v>1.81</v>
      </c>
      <c r="H25" s="4">
        <f t="shared" si="1"/>
        <v>28.082170873904946</v>
      </c>
      <c r="I25" s="1" t="s">
        <v>11</v>
      </c>
      <c r="J25" s="1">
        <v>25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3">
        <v>45790</v>
      </c>
      <c r="U25" s="1">
        <v>3.9</v>
      </c>
      <c r="V25" s="1">
        <v>96</v>
      </c>
      <c r="W25" s="1">
        <v>61</v>
      </c>
      <c r="X25" s="5">
        <f t="shared" si="25"/>
        <v>1</v>
      </c>
      <c r="Y25" s="1">
        <v>7</v>
      </c>
      <c r="Z25" s="1">
        <v>4</v>
      </c>
      <c r="AA25" s="1">
        <f t="shared" si="4"/>
        <v>1</v>
      </c>
      <c r="AB25" s="1">
        <v>39</v>
      </c>
      <c r="AC25" s="1">
        <f t="shared" si="5"/>
        <v>4</v>
      </c>
      <c r="AD25" s="1">
        <f t="shared" si="16"/>
        <v>0</v>
      </c>
      <c r="AE25" s="1">
        <f t="shared" si="6"/>
        <v>85.64</v>
      </c>
      <c r="AF25" s="1">
        <f t="shared" si="7"/>
        <v>0</v>
      </c>
      <c r="AG25" s="1">
        <v>4.8</v>
      </c>
      <c r="AH25" s="1">
        <v>13</v>
      </c>
      <c r="AI25" s="1">
        <v>30</v>
      </c>
      <c r="AJ25" s="1">
        <v>33</v>
      </c>
      <c r="AK25" s="1">
        <v>61</v>
      </c>
      <c r="AL25" s="1">
        <v>58</v>
      </c>
      <c r="AM25" s="1">
        <v>531</v>
      </c>
      <c r="AN25" s="4">
        <f t="shared" si="21"/>
        <v>16.45021542693032</v>
      </c>
      <c r="AO25" s="1">
        <f t="shared" si="22"/>
        <v>30.16</v>
      </c>
      <c r="AP25" s="4">
        <f t="shared" si="23"/>
        <v>5.0212800057783094</v>
      </c>
      <c r="AQ25" s="6">
        <f t="shared" si="24"/>
        <v>0</v>
      </c>
      <c r="AR25" s="6">
        <f t="shared" si="15"/>
        <v>0</v>
      </c>
      <c r="AS25" s="1">
        <v>3</v>
      </c>
      <c r="AT25" s="1">
        <f t="shared" si="8"/>
        <v>1</v>
      </c>
      <c r="AU25" s="1">
        <f t="shared" si="9"/>
        <v>0</v>
      </c>
      <c r="AV25" s="1" t="str">
        <f t="shared" si="10"/>
        <v>fragile</v>
      </c>
      <c r="AW25" s="1">
        <v>3</v>
      </c>
      <c r="AX25" s="1">
        <f t="shared" si="11"/>
        <v>1</v>
      </c>
      <c r="BA25" s="1">
        <v>3</v>
      </c>
      <c r="BB25" s="1">
        <f t="shared" si="13"/>
        <v>0</v>
      </c>
      <c r="BC25" s="1">
        <v>8</v>
      </c>
      <c r="BD25" s="1">
        <f t="shared" si="26"/>
        <v>0</v>
      </c>
      <c r="BE25" s="1">
        <v>70</v>
      </c>
      <c r="BV25" s="3"/>
    </row>
    <row r="26" spans="1:74" x14ac:dyDescent="0.2">
      <c r="A26" s="1">
        <v>25</v>
      </c>
      <c r="B26" s="3">
        <v>45813</v>
      </c>
      <c r="C26" s="1">
        <v>1958</v>
      </c>
      <c r="D26" s="1">
        <f t="shared" si="0"/>
        <v>67</v>
      </c>
      <c r="E26" s="1" t="s">
        <v>10</v>
      </c>
      <c r="F26" s="1">
        <v>64.5</v>
      </c>
      <c r="G26" s="4">
        <v>1.66</v>
      </c>
      <c r="H26" s="4">
        <f t="shared" si="1"/>
        <v>23.406880534184936</v>
      </c>
      <c r="I26" s="1" t="s">
        <v>11</v>
      </c>
      <c r="J26" s="1">
        <v>49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3">
        <v>45503</v>
      </c>
      <c r="U26" s="1">
        <v>2.8</v>
      </c>
      <c r="V26" s="1">
        <v>78</v>
      </c>
      <c r="W26" s="1">
        <v>39</v>
      </c>
      <c r="X26" s="5">
        <f t="shared" si="25"/>
        <v>2</v>
      </c>
      <c r="Y26" s="1">
        <v>4</v>
      </c>
      <c r="Z26" s="1">
        <v>2</v>
      </c>
      <c r="AA26" s="1">
        <f t="shared" si="4"/>
        <v>0</v>
      </c>
      <c r="AB26" s="1">
        <v>31</v>
      </c>
      <c r="AC26" s="1">
        <f t="shared" si="5"/>
        <v>12</v>
      </c>
      <c r="AD26" s="1">
        <f t="shared" si="16"/>
        <v>1</v>
      </c>
      <c r="AE26" s="1">
        <f t="shared" si="6"/>
        <v>114.69999999999999</v>
      </c>
      <c r="AF26" s="1">
        <f t="shared" si="7"/>
        <v>1</v>
      </c>
      <c r="AG26" s="1">
        <v>5.6</v>
      </c>
      <c r="AH26" s="1">
        <v>17</v>
      </c>
      <c r="AI26" s="1">
        <v>30</v>
      </c>
      <c r="AJ26" s="1">
        <v>13</v>
      </c>
      <c r="AK26" s="1">
        <v>50</v>
      </c>
      <c r="AL26" s="1">
        <v>47</v>
      </c>
      <c r="AM26" s="1">
        <v>528</v>
      </c>
      <c r="AN26" s="4">
        <f t="shared" si="21"/>
        <v>11.527528131060604</v>
      </c>
      <c r="AO26" s="1">
        <f t="shared" si="22"/>
        <v>24.44</v>
      </c>
      <c r="AP26" s="4">
        <f t="shared" si="23"/>
        <v>4.1833096715998712</v>
      </c>
      <c r="AQ26" s="6">
        <f t="shared" si="24"/>
        <v>1</v>
      </c>
      <c r="AR26" s="6">
        <f t="shared" si="15"/>
        <v>1</v>
      </c>
      <c r="AS26" s="1">
        <v>2</v>
      </c>
      <c r="AT26" s="1">
        <f t="shared" si="8"/>
        <v>0</v>
      </c>
      <c r="AU26" s="1">
        <f t="shared" si="9"/>
        <v>1</v>
      </c>
      <c r="AV26" s="1" t="str">
        <f t="shared" si="10"/>
        <v>préfragile</v>
      </c>
      <c r="AW26" s="1">
        <v>2</v>
      </c>
      <c r="AX26" s="1">
        <f t="shared" si="11"/>
        <v>0</v>
      </c>
      <c r="AY26" s="1">
        <v>3</v>
      </c>
      <c r="AZ26" s="1">
        <f t="shared" si="12"/>
        <v>0</v>
      </c>
      <c r="BA26" s="1">
        <v>2</v>
      </c>
      <c r="BB26" s="1">
        <f t="shared" si="13"/>
        <v>0</v>
      </c>
      <c r="BC26" s="1">
        <v>12</v>
      </c>
      <c r="BD26" s="1">
        <f t="shared" si="26"/>
        <v>1</v>
      </c>
      <c r="BE26" s="1">
        <v>51</v>
      </c>
      <c r="BV26" s="3"/>
    </row>
    <row r="27" spans="1:74" x14ac:dyDescent="0.2">
      <c r="A27" s="1">
        <v>26</v>
      </c>
      <c r="B27" s="3">
        <v>45820</v>
      </c>
      <c r="C27" s="1">
        <v>1956</v>
      </c>
      <c r="D27" s="1">
        <f t="shared" si="0"/>
        <v>69</v>
      </c>
      <c r="E27" s="1" t="s">
        <v>12</v>
      </c>
      <c r="F27" s="1">
        <v>55</v>
      </c>
      <c r="G27" s="4">
        <v>1.51</v>
      </c>
      <c r="H27" s="4">
        <f t="shared" si="1"/>
        <v>24.121749046094472</v>
      </c>
      <c r="I27" s="1" t="s">
        <v>13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3">
        <v>45776</v>
      </c>
      <c r="U27" s="1">
        <v>2.6</v>
      </c>
      <c r="V27" s="1">
        <v>118</v>
      </c>
      <c r="W27" s="1">
        <v>68</v>
      </c>
      <c r="X27" s="5">
        <f t="shared" si="25"/>
        <v>0</v>
      </c>
      <c r="Y27" s="1">
        <v>4</v>
      </c>
      <c r="Z27" s="1">
        <v>0</v>
      </c>
      <c r="AA27" s="1">
        <f>IF(Z27&gt;=4,1,0)</f>
        <v>0</v>
      </c>
      <c r="AB27" s="1">
        <v>35</v>
      </c>
      <c r="AC27" s="1">
        <f t="shared" si="5"/>
        <v>0</v>
      </c>
      <c r="AD27" s="1">
        <f t="shared" si="16"/>
        <v>0</v>
      </c>
      <c r="AE27" s="1">
        <f t="shared" si="6"/>
        <v>67.679999999999993</v>
      </c>
      <c r="AF27" s="1">
        <f t="shared" si="7"/>
        <v>0</v>
      </c>
      <c r="AG27" s="1">
        <v>1.8</v>
      </c>
      <c r="AH27" s="1">
        <v>10</v>
      </c>
      <c r="AI27" s="1">
        <v>26</v>
      </c>
      <c r="AJ27" s="1">
        <v>17</v>
      </c>
      <c r="AK27" s="1">
        <v>38</v>
      </c>
      <c r="AL27" s="1">
        <v>36</v>
      </c>
      <c r="AM27" s="1">
        <v>543</v>
      </c>
      <c r="AN27" s="4">
        <f t="shared" si="21"/>
        <v>5.5549279965009211</v>
      </c>
      <c r="AO27" s="1">
        <f t="shared" si="22"/>
        <v>18.72</v>
      </c>
      <c r="AP27" s="4">
        <f t="shared" si="23"/>
        <v>2.4362650745585372</v>
      </c>
      <c r="AQ27" s="6">
        <f t="shared" si="24"/>
        <v>0</v>
      </c>
      <c r="AR27" s="6">
        <f t="shared" si="15"/>
        <v>0</v>
      </c>
      <c r="AS27" s="1">
        <v>2</v>
      </c>
      <c r="AT27" s="1">
        <f t="shared" si="8"/>
        <v>0</v>
      </c>
      <c r="AU27" s="1">
        <f t="shared" si="9"/>
        <v>1</v>
      </c>
      <c r="AV27" s="1" t="str">
        <f t="shared" si="10"/>
        <v>préfragile</v>
      </c>
      <c r="AW27" s="1">
        <v>2</v>
      </c>
      <c r="AX27" s="1">
        <f t="shared" si="11"/>
        <v>0</v>
      </c>
      <c r="AY27" s="1">
        <v>2</v>
      </c>
      <c r="AZ27" s="1">
        <f t="shared" si="12"/>
        <v>0</v>
      </c>
      <c r="BA27" s="1">
        <v>2</v>
      </c>
      <c r="BB27" s="1">
        <f t="shared" si="13"/>
        <v>0</v>
      </c>
      <c r="BC27" s="1">
        <v>13</v>
      </c>
      <c r="BD27" s="1">
        <f t="shared" si="26"/>
        <v>1</v>
      </c>
      <c r="BE27" s="1">
        <v>39</v>
      </c>
      <c r="BV27" s="3"/>
    </row>
    <row r="28" spans="1:74" x14ac:dyDescent="0.2">
      <c r="A28" s="1">
        <v>27</v>
      </c>
      <c r="B28" s="3">
        <v>45820</v>
      </c>
      <c r="C28" s="1">
        <v>1955</v>
      </c>
      <c r="D28" s="1">
        <f t="shared" si="0"/>
        <v>70</v>
      </c>
      <c r="E28" s="1" t="s">
        <v>12</v>
      </c>
      <c r="F28" s="1">
        <v>70</v>
      </c>
      <c r="G28" s="4">
        <v>1.64</v>
      </c>
      <c r="H28" s="4">
        <f t="shared" si="1"/>
        <v>26.026174895895306</v>
      </c>
      <c r="I28" s="1" t="s">
        <v>11</v>
      </c>
      <c r="J28" s="1">
        <v>12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</v>
      </c>
      <c r="R28" s="1">
        <v>1</v>
      </c>
      <c r="S28" s="1">
        <v>1</v>
      </c>
      <c r="T28" s="3">
        <v>45323</v>
      </c>
      <c r="V28" s="1">
        <v>49</v>
      </c>
      <c r="X28" s="5">
        <f t="shared" si="25"/>
        <v>4</v>
      </c>
      <c r="Y28" s="1">
        <v>4</v>
      </c>
      <c r="Z28" s="1">
        <v>0</v>
      </c>
      <c r="AA28" s="1">
        <f t="shared" si="4"/>
        <v>0</v>
      </c>
      <c r="AB28" s="1">
        <v>30</v>
      </c>
      <c r="AC28" s="1">
        <f t="shared" si="5"/>
        <v>10</v>
      </c>
      <c r="AD28" s="1">
        <f t="shared" si="16"/>
        <v>0</v>
      </c>
      <c r="AE28" s="1">
        <f t="shared" si="6"/>
        <v>115.41999999999999</v>
      </c>
      <c r="AF28" s="1">
        <f t="shared" si="7"/>
        <v>0</v>
      </c>
      <c r="AG28" s="1">
        <v>5</v>
      </c>
      <c r="AH28" s="1">
        <v>12</v>
      </c>
      <c r="AI28" s="1">
        <v>20</v>
      </c>
      <c r="AJ28" s="1">
        <v>28</v>
      </c>
      <c r="AK28" s="1">
        <v>42</v>
      </c>
      <c r="AL28" s="1">
        <v>40</v>
      </c>
      <c r="AM28" s="1">
        <v>560</v>
      </c>
      <c r="AN28" s="4">
        <f>IF(E28="M",0.197*G28*G28/AM28+0.179*F28-0.019,0.221*G28*G28/AM28+0.117*F28-0.881)</f>
        <v>7.3100614314285721</v>
      </c>
      <c r="AO28" s="1">
        <f t="shared" si="22"/>
        <v>20.8</v>
      </c>
      <c r="AP28" s="4">
        <f t="shared" si="23"/>
        <v>2.7178991044871252</v>
      </c>
      <c r="AQ28" s="6">
        <f t="shared" si="24"/>
        <v>0</v>
      </c>
      <c r="AR28" s="6">
        <f t="shared" si="15"/>
        <v>0</v>
      </c>
      <c r="AS28" s="1">
        <v>2</v>
      </c>
      <c r="AT28" s="1">
        <f t="shared" si="8"/>
        <v>0</v>
      </c>
      <c r="AU28" s="1">
        <f t="shared" si="9"/>
        <v>1</v>
      </c>
      <c r="AV28" s="1" t="str">
        <f t="shared" si="10"/>
        <v>préfragile</v>
      </c>
      <c r="AW28" s="1">
        <v>1</v>
      </c>
      <c r="AX28" s="1">
        <f t="shared" si="11"/>
        <v>0</v>
      </c>
      <c r="AY28" s="1">
        <v>4</v>
      </c>
      <c r="AZ28" s="1">
        <f t="shared" si="12"/>
        <v>0</v>
      </c>
      <c r="BA28" s="1">
        <v>5</v>
      </c>
      <c r="BB28" s="1">
        <f t="shared" si="13"/>
        <v>1</v>
      </c>
      <c r="BC28" s="1">
        <v>22</v>
      </c>
      <c r="BD28" s="1">
        <f t="shared" si="26"/>
        <v>1</v>
      </c>
      <c r="BE28" s="1">
        <v>51</v>
      </c>
    </row>
    <row r="29" spans="1:74" x14ac:dyDescent="0.2">
      <c r="A29" s="1">
        <v>28</v>
      </c>
      <c r="B29" s="3">
        <v>45889</v>
      </c>
      <c r="C29" s="1">
        <v>1952</v>
      </c>
      <c r="D29" s="1">
        <f t="shared" si="0"/>
        <v>73</v>
      </c>
      <c r="E29" s="1" t="s">
        <v>10</v>
      </c>
      <c r="F29" s="1">
        <v>85</v>
      </c>
      <c r="G29" s="4">
        <v>1.69</v>
      </c>
      <c r="H29" s="4">
        <f t="shared" si="1"/>
        <v>29.760862714890933</v>
      </c>
      <c r="I29" s="1" t="s">
        <v>11</v>
      </c>
      <c r="J29" s="1">
        <v>30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3</v>
      </c>
      <c r="R29" s="1">
        <v>0</v>
      </c>
      <c r="S29" s="1">
        <v>0</v>
      </c>
      <c r="T29" s="3">
        <v>45771</v>
      </c>
      <c r="U29" s="1">
        <v>3.16</v>
      </c>
      <c r="V29" s="1">
        <v>84</v>
      </c>
      <c r="W29" s="1">
        <v>60</v>
      </c>
      <c r="X29" s="1">
        <f t="shared" si="25"/>
        <v>1</v>
      </c>
      <c r="Y29" s="1">
        <v>5</v>
      </c>
      <c r="Z29" s="1">
        <v>3</v>
      </c>
      <c r="AA29" s="1">
        <f t="shared" si="4"/>
        <v>0</v>
      </c>
      <c r="AB29" s="1">
        <v>36</v>
      </c>
      <c r="AC29" s="1">
        <f t="shared" si="5"/>
        <v>3</v>
      </c>
      <c r="AD29" s="1">
        <f t="shared" si="16"/>
        <v>0</v>
      </c>
      <c r="AE29" s="1">
        <f t="shared" si="6"/>
        <v>95.22</v>
      </c>
      <c r="AF29" s="1">
        <f t="shared" si="7"/>
        <v>0</v>
      </c>
      <c r="AG29" s="1">
        <v>3.7</v>
      </c>
      <c r="AH29" s="1">
        <v>15</v>
      </c>
      <c r="AI29" s="1">
        <v>30</v>
      </c>
      <c r="AJ29" s="1">
        <v>30</v>
      </c>
      <c r="AK29" s="1">
        <v>57</v>
      </c>
      <c r="AL29" s="1">
        <v>24</v>
      </c>
      <c r="AS29" s="1">
        <v>3</v>
      </c>
      <c r="AT29" s="1">
        <f t="shared" si="8"/>
        <v>1</v>
      </c>
      <c r="AU29" s="1">
        <f t="shared" si="9"/>
        <v>0</v>
      </c>
      <c r="AV29" s="1" t="str">
        <f t="shared" si="10"/>
        <v>fragile</v>
      </c>
      <c r="AW29" s="1">
        <v>3</v>
      </c>
      <c r="AX29" s="1">
        <f t="shared" si="11"/>
        <v>1</v>
      </c>
      <c r="AY29" s="1">
        <v>3</v>
      </c>
      <c r="AZ29" s="1">
        <f t="shared" si="12"/>
        <v>0</v>
      </c>
      <c r="BA29" s="1">
        <v>6</v>
      </c>
      <c r="BB29" s="1">
        <f t="shared" si="13"/>
        <v>1</v>
      </c>
      <c r="BC29" s="1">
        <v>11</v>
      </c>
      <c r="BD29" s="1">
        <f t="shared" si="26"/>
        <v>1</v>
      </c>
      <c r="BE29" s="1">
        <v>50</v>
      </c>
    </row>
    <row r="30" spans="1:74" x14ac:dyDescent="0.2">
      <c r="A30" s="1">
        <v>29</v>
      </c>
      <c r="B30" s="3">
        <v>45873</v>
      </c>
      <c r="C30" s="1">
        <v>1950</v>
      </c>
      <c r="D30" s="1">
        <f t="shared" si="0"/>
        <v>75</v>
      </c>
      <c r="E30" s="1" t="s">
        <v>10</v>
      </c>
      <c r="F30" s="1">
        <v>82</v>
      </c>
      <c r="G30" s="4">
        <v>1.77</v>
      </c>
      <c r="H30" s="4">
        <f t="shared" si="1"/>
        <v>26.173832551310287</v>
      </c>
      <c r="I30" s="1" t="s">
        <v>13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3">
        <v>45831</v>
      </c>
      <c r="U30" s="1">
        <v>4.09</v>
      </c>
      <c r="V30" s="1">
        <v>104</v>
      </c>
      <c r="W30" s="1">
        <v>80</v>
      </c>
      <c r="X30" s="1">
        <f t="shared" si="25"/>
        <v>1</v>
      </c>
      <c r="Y30" s="1">
        <v>6</v>
      </c>
      <c r="Z30" s="1">
        <v>0</v>
      </c>
      <c r="AA30" s="1">
        <f t="shared" si="4"/>
        <v>0</v>
      </c>
      <c r="AB30" s="1">
        <v>37</v>
      </c>
      <c r="AC30" s="1">
        <f t="shared" si="5"/>
        <v>0</v>
      </c>
      <c r="AD30" s="1">
        <f t="shared" si="16"/>
        <v>0</v>
      </c>
      <c r="AE30" s="1">
        <f>IF(E30="M",0.62*(D30-64)-3.09*(AI30-50)-4.64*(AB30-42),0.8*(D30-64)-5.09*(AI30-34)-3.28*(AB30-42))</f>
        <v>73.28</v>
      </c>
      <c r="AF30" s="1">
        <f t="shared" si="7"/>
        <v>0</v>
      </c>
      <c r="AG30" s="1">
        <v>2.8</v>
      </c>
      <c r="AH30" s="1">
        <v>15</v>
      </c>
      <c r="AI30" s="1">
        <v>36</v>
      </c>
      <c r="AJ30" s="1">
        <v>20</v>
      </c>
      <c r="AK30" s="1">
        <v>62</v>
      </c>
      <c r="AL30" s="1">
        <v>59</v>
      </c>
      <c r="AM30" s="1">
        <v>438</v>
      </c>
      <c r="AN30" s="4">
        <f t="shared" ref="AN30:AN32" si="27">IF(E30="M",0.197*G30*G30/AM30+0.179*F30-0.019,0.221*G30*G30/AM30+0.117*F30-0.881)</f>
        <v>14.660409089726027</v>
      </c>
      <c r="AO30" s="1">
        <f t="shared" si="22"/>
        <v>30.68</v>
      </c>
      <c r="AP30" s="4">
        <f t="shared" si="23"/>
        <v>4.6795011298560532</v>
      </c>
      <c r="AQ30" s="6">
        <f t="shared" si="24"/>
        <v>0</v>
      </c>
      <c r="AR30" s="6">
        <f t="shared" si="15"/>
        <v>0</v>
      </c>
      <c r="AS30" s="1">
        <v>0</v>
      </c>
      <c r="AT30" s="1">
        <f t="shared" si="8"/>
        <v>0</v>
      </c>
      <c r="AU30" s="1">
        <f t="shared" si="9"/>
        <v>0</v>
      </c>
      <c r="AV30" s="1" t="str">
        <f t="shared" si="10"/>
        <v>robuste</v>
      </c>
      <c r="AW30" s="1">
        <v>0</v>
      </c>
      <c r="AX30" s="1">
        <f t="shared" si="11"/>
        <v>0</v>
      </c>
      <c r="AY30" s="1">
        <v>2</v>
      </c>
      <c r="AZ30" s="1">
        <f t="shared" si="12"/>
        <v>0</v>
      </c>
      <c r="BA30" s="1">
        <v>0</v>
      </c>
      <c r="BB30" s="1">
        <f t="shared" si="13"/>
        <v>0</v>
      </c>
      <c r="BC30" s="1">
        <v>10</v>
      </c>
      <c r="BD30" s="1">
        <f t="shared" si="26"/>
        <v>0</v>
      </c>
      <c r="BE30" s="1">
        <v>87</v>
      </c>
    </row>
    <row r="31" spans="1:74" x14ac:dyDescent="0.2">
      <c r="A31" s="1">
        <v>30</v>
      </c>
      <c r="B31" s="3">
        <v>45950</v>
      </c>
      <c r="C31" s="1">
        <v>1946</v>
      </c>
      <c r="D31" s="1">
        <f t="shared" si="0"/>
        <v>79</v>
      </c>
      <c r="E31" s="1" t="s">
        <v>10</v>
      </c>
      <c r="F31" s="1">
        <v>68</v>
      </c>
      <c r="G31" s="4">
        <v>1.74</v>
      </c>
      <c r="H31" s="4">
        <f t="shared" si="1"/>
        <v>22.460034350640772</v>
      </c>
      <c r="I31" s="1" t="s">
        <v>11</v>
      </c>
      <c r="J31" s="1">
        <v>40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3</v>
      </c>
      <c r="R31" s="1">
        <v>1</v>
      </c>
      <c r="S31" s="1">
        <v>1</v>
      </c>
      <c r="T31" s="3">
        <v>45790</v>
      </c>
      <c r="V31" s="1">
        <v>72</v>
      </c>
      <c r="W31" s="1">
        <v>47</v>
      </c>
      <c r="X31" s="1">
        <f t="shared" si="25"/>
        <v>3</v>
      </c>
      <c r="Y31" s="1">
        <v>7</v>
      </c>
      <c r="Z31" s="1">
        <v>1</v>
      </c>
      <c r="AA31" s="1">
        <f t="shared" si="4"/>
        <v>0</v>
      </c>
      <c r="AB31" s="1">
        <v>34</v>
      </c>
      <c r="AC31" s="1">
        <f t="shared" si="5"/>
        <v>1</v>
      </c>
      <c r="AD31" s="1">
        <f t="shared" si="16"/>
        <v>0</v>
      </c>
      <c r="AE31" s="1">
        <f t="shared" si="6"/>
        <v>102.03999999999999</v>
      </c>
      <c r="AF31" s="1">
        <f t="shared" si="7"/>
        <v>0</v>
      </c>
      <c r="AG31" s="1">
        <v>3.3</v>
      </c>
      <c r="AH31" s="1">
        <v>14.6</v>
      </c>
      <c r="AI31" s="1">
        <v>32</v>
      </c>
      <c r="AJ31" s="1">
        <v>13</v>
      </c>
      <c r="AK31" s="1">
        <v>54</v>
      </c>
      <c r="AL31" s="1">
        <v>51</v>
      </c>
      <c r="AM31" s="1">
        <v>501</v>
      </c>
      <c r="AN31" s="4">
        <f t="shared" si="27"/>
        <v>12.154190493413171</v>
      </c>
      <c r="AO31" s="1">
        <f t="shared" si="22"/>
        <v>26.52</v>
      </c>
      <c r="AP31" s="4">
        <f t="shared" si="23"/>
        <v>4.014463764504284</v>
      </c>
      <c r="AQ31" s="6">
        <f t="shared" si="24"/>
        <v>0</v>
      </c>
      <c r="AR31" s="6">
        <f t="shared" si="15"/>
        <v>0</v>
      </c>
      <c r="AS31" s="1">
        <v>0</v>
      </c>
      <c r="AT31" s="1">
        <f t="shared" si="8"/>
        <v>0</v>
      </c>
      <c r="AU31" s="1">
        <f t="shared" si="9"/>
        <v>0</v>
      </c>
      <c r="AV31" s="1" t="str">
        <f t="shared" si="10"/>
        <v>robuste</v>
      </c>
      <c r="AW31" s="1">
        <v>0</v>
      </c>
      <c r="AX31" s="1">
        <f t="shared" si="11"/>
        <v>0</v>
      </c>
      <c r="AY31" s="1">
        <v>4</v>
      </c>
      <c r="AZ31" s="1">
        <f t="shared" si="12"/>
        <v>0</v>
      </c>
      <c r="BA31" s="1">
        <v>2</v>
      </c>
      <c r="BB31" s="1">
        <f t="shared" si="13"/>
        <v>0</v>
      </c>
      <c r="BC31" s="1">
        <v>14</v>
      </c>
      <c r="BD31" s="1">
        <f t="shared" si="26"/>
        <v>1</v>
      </c>
      <c r="BE31" s="1">
        <v>58</v>
      </c>
    </row>
    <row r="32" spans="1:74" x14ac:dyDescent="0.2">
      <c r="A32" s="1">
        <v>31</v>
      </c>
      <c r="B32" s="3">
        <v>45881</v>
      </c>
      <c r="C32" s="1">
        <v>1947</v>
      </c>
      <c r="D32" s="1">
        <f t="shared" si="0"/>
        <v>78</v>
      </c>
      <c r="E32" s="1" t="s">
        <v>12</v>
      </c>
      <c r="F32" s="1">
        <v>62</v>
      </c>
      <c r="G32" s="4">
        <v>1.5</v>
      </c>
      <c r="H32" s="4">
        <f t="shared" si="1"/>
        <v>27.555555555555557</v>
      </c>
      <c r="I32" s="1" t="s">
        <v>13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3</v>
      </c>
      <c r="R32" s="1">
        <v>0</v>
      </c>
      <c r="S32" s="1">
        <v>0</v>
      </c>
      <c r="T32" s="3">
        <v>45881</v>
      </c>
      <c r="U32" s="1">
        <v>1.06</v>
      </c>
      <c r="V32" s="1">
        <v>64</v>
      </c>
      <c r="X32" s="1">
        <f t="shared" si="25"/>
        <v>3</v>
      </c>
      <c r="Y32" s="1">
        <v>10</v>
      </c>
      <c r="Z32" s="1">
        <v>5</v>
      </c>
      <c r="AA32" s="1">
        <f t="shared" si="4"/>
        <v>1</v>
      </c>
      <c r="AB32" s="1">
        <v>67</v>
      </c>
      <c r="AC32" s="1">
        <f t="shared" si="5"/>
        <v>5</v>
      </c>
      <c r="AD32" s="1">
        <f t="shared" si="16"/>
        <v>0</v>
      </c>
      <c r="AE32" s="1">
        <f t="shared" si="6"/>
        <v>51.359999999999985</v>
      </c>
      <c r="AF32" s="1">
        <f t="shared" si="7"/>
        <v>0</v>
      </c>
      <c r="AG32" s="1">
        <v>5</v>
      </c>
      <c r="AH32" s="1">
        <v>22</v>
      </c>
      <c r="AI32" s="1">
        <v>10</v>
      </c>
      <c r="AJ32" s="1">
        <v>18</v>
      </c>
      <c r="AK32" s="1">
        <v>41</v>
      </c>
      <c r="AL32" s="1">
        <v>39</v>
      </c>
      <c r="AM32" s="1">
        <v>438</v>
      </c>
      <c r="AN32" s="4">
        <f t="shared" si="27"/>
        <v>6.3741352739726027</v>
      </c>
      <c r="AO32" s="1">
        <f t="shared" si="22"/>
        <v>20.28</v>
      </c>
      <c r="AP32" s="4">
        <f t="shared" si="23"/>
        <v>2.8329490106544899</v>
      </c>
      <c r="AQ32" s="6">
        <f t="shared" si="24"/>
        <v>1</v>
      </c>
      <c r="AR32" s="6">
        <f t="shared" si="15"/>
        <v>1</v>
      </c>
      <c r="AS32" s="1">
        <v>3</v>
      </c>
      <c r="AT32" s="1">
        <f t="shared" si="8"/>
        <v>1</v>
      </c>
      <c r="AU32" s="1">
        <f t="shared" si="9"/>
        <v>0</v>
      </c>
      <c r="AV32" s="1" t="str">
        <f t="shared" si="10"/>
        <v>fragile</v>
      </c>
      <c r="AW32" s="1">
        <v>4</v>
      </c>
      <c r="AX32" s="1">
        <f t="shared" si="11"/>
        <v>1</v>
      </c>
      <c r="AY32" s="1">
        <v>6</v>
      </c>
      <c r="AZ32" s="1">
        <f t="shared" si="12"/>
        <v>1</v>
      </c>
      <c r="BA32" s="1">
        <v>7</v>
      </c>
      <c r="BB32" s="1">
        <f t="shared" si="13"/>
        <v>1</v>
      </c>
      <c r="BC32" s="1">
        <v>15</v>
      </c>
      <c r="BD32" s="1">
        <f t="shared" si="26"/>
        <v>1</v>
      </c>
      <c r="BE32" s="1">
        <v>42</v>
      </c>
    </row>
    <row r="33" spans="1:57" x14ac:dyDescent="0.2">
      <c r="A33" s="1">
        <v>32</v>
      </c>
      <c r="B33" s="3">
        <v>45894</v>
      </c>
      <c r="C33" s="1">
        <v>1944</v>
      </c>
      <c r="D33" s="1">
        <f t="shared" si="0"/>
        <v>81</v>
      </c>
      <c r="E33" s="1" t="s">
        <v>10</v>
      </c>
      <c r="F33" s="1">
        <v>93</v>
      </c>
      <c r="G33" s="4">
        <v>1.8</v>
      </c>
      <c r="H33" s="4">
        <f t="shared" si="1"/>
        <v>28.703703703703702</v>
      </c>
      <c r="I33" s="1" t="s">
        <v>11</v>
      </c>
      <c r="J33" s="1">
        <v>20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3">
        <v>45566</v>
      </c>
      <c r="U33" s="1">
        <v>3.11</v>
      </c>
      <c r="V33" s="1">
        <v>79</v>
      </c>
      <c r="W33" s="1">
        <v>55</v>
      </c>
      <c r="X33" s="1">
        <f t="shared" si="25"/>
        <v>1</v>
      </c>
      <c r="Y33" s="1">
        <v>6</v>
      </c>
      <c r="AB33" s="1">
        <v>40</v>
      </c>
      <c r="AE33" s="1">
        <f t="shared" si="6"/>
        <v>81.62</v>
      </c>
      <c r="AF33" s="1">
        <f t="shared" si="7"/>
        <v>0</v>
      </c>
      <c r="AG33" s="1">
        <v>4.5</v>
      </c>
      <c r="AH33" s="1">
        <v>23</v>
      </c>
      <c r="AI33" s="1">
        <v>30</v>
      </c>
      <c r="AS33" s="1">
        <v>1</v>
      </c>
      <c r="AT33" s="1">
        <f t="shared" si="8"/>
        <v>0</v>
      </c>
      <c r="AU33" s="1">
        <f t="shared" si="9"/>
        <v>1</v>
      </c>
      <c r="AV33" s="1" t="str">
        <f t="shared" si="10"/>
        <v>préfragile</v>
      </c>
      <c r="AW33" s="1">
        <v>0</v>
      </c>
      <c r="AX33" s="1">
        <f t="shared" si="11"/>
        <v>0</v>
      </c>
      <c r="AY33" s="1">
        <v>2</v>
      </c>
      <c r="AZ33" s="1">
        <f t="shared" si="12"/>
        <v>0</v>
      </c>
      <c r="BA33" s="1">
        <v>2</v>
      </c>
      <c r="BB33" s="1">
        <f t="shared" si="13"/>
        <v>0</v>
      </c>
      <c r="BC33" s="1">
        <v>10</v>
      </c>
      <c r="BD33" s="1">
        <f t="shared" si="26"/>
        <v>0</v>
      </c>
      <c r="BE33" s="1">
        <v>96</v>
      </c>
    </row>
    <row r="34" spans="1:57" x14ac:dyDescent="0.2">
      <c r="A34" s="1">
        <v>33</v>
      </c>
      <c r="B34" s="3">
        <v>45910</v>
      </c>
      <c r="C34" s="1">
        <v>1941</v>
      </c>
      <c r="D34" s="1">
        <f t="shared" si="0"/>
        <v>84</v>
      </c>
      <c r="E34" s="1" t="s">
        <v>12</v>
      </c>
      <c r="F34" s="1">
        <v>50</v>
      </c>
      <c r="G34" s="4">
        <v>1.62</v>
      </c>
      <c r="H34" s="4">
        <f t="shared" si="1"/>
        <v>19.051973784484069</v>
      </c>
      <c r="I34" s="1" t="s">
        <v>11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3</v>
      </c>
      <c r="R34" s="1">
        <v>0</v>
      </c>
      <c r="S34" s="1">
        <v>0</v>
      </c>
      <c r="T34" s="3">
        <v>45001</v>
      </c>
      <c r="U34" s="1">
        <v>1.78</v>
      </c>
      <c r="V34" s="1">
        <v>81</v>
      </c>
      <c r="X34" s="1">
        <f t="shared" si="25"/>
        <v>2</v>
      </c>
      <c r="Y34" s="1">
        <v>6</v>
      </c>
      <c r="Z34" s="1">
        <v>4</v>
      </c>
      <c r="AA34" s="1">
        <f t="shared" si="4"/>
        <v>1</v>
      </c>
      <c r="AB34" s="1">
        <v>35</v>
      </c>
      <c r="AC34" s="1">
        <f t="shared" si="5"/>
        <v>4</v>
      </c>
      <c r="AD34" s="1">
        <f t="shared" si="16"/>
        <v>0</v>
      </c>
      <c r="AE34" s="1">
        <f t="shared" si="6"/>
        <v>110.21999999999998</v>
      </c>
      <c r="AF34" s="1">
        <f t="shared" si="7"/>
        <v>0</v>
      </c>
      <c r="AG34" s="1">
        <v>5</v>
      </c>
      <c r="AH34" s="1">
        <v>36</v>
      </c>
      <c r="AI34" s="1">
        <v>20</v>
      </c>
      <c r="AJ34" s="1">
        <v>14.5</v>
      </c>
      <c r="AK34" s="1">
        <v>35</v>
      </c>
      <c r="AL34" s="1">
        <v>33</v>
      </c>
      <c r="AM34" s="1">
        <v>674</v>
      </c>
      <c r="AN34" s="4">
        <f t="shared" ref="AN34:AN35" si="28">IF(E34="M",0.197*G34*G34/AM34+0.179*F34-0.019,0.221*G34*G34/AM34+0.117*F34-0.881)</f>
        <v>4.9698605228486654</v>
      </c>
      <c r="AO34" s="1">
        <f t="shared" ref="AO34:AO35" si="29">0.52*AL34</f>
        <v>17.16</v>
      </c>
      <c r="AP34" s="4">
        <f t="shared" ref="AP34:AP35" si="30">AN34/G34/G34</f>
        <v>1.8937130478771014</v>
      </c>
      <c r="AQ34" s="6">
        <f t="shared" ref="AQ34:AQ35" si="31">IF(AND(E34="F",OR(AI34&lt;16,AH34&gt;15),AP34&lt;5.5),1,IF(AND(E34="M",OR(AI34&lt;27,AH34&gt;15),AP34&lt;7),1,0))</f>
        <v>1</v>
      </c>
      <c r="AR34" s="6">
        <f t="shared" ref="AR34:AR35" si="32">IF(AND(AQ34=1,AG34&gt;4),1,0)</f>
        <v>1</v>
      </c>
      <c r="AS34" s="1">
        <v>4</v>
      </c>
      <c r="AT34" s="1">
        <f t="shared" si="8"/>
        <v>1</v>
      </c>
      <c r="AU34" s="1">
        <f t="shared" si="9"/>
        <v>0</v>
      </c>
      <c r="AV34" s="1" t="str">
        <f t="shared" si="10"/>
        <v>fragile</v>
      </c>
      <c r="AW34" s="1">
        <v>5</v>
      </c>
      <c r="AX34" s="1">
        <f t="shared" si="11"/>
        <v>1</v>
      </c>
      <c r="AY34" s="1">
        <v>4</v>
      </c>
      <c r="AZ34" s="1">
        <f t="shared" si="12"/>
        <v>0</v>
      </c>
      <c r="BA34" s="1">
        <v>7</v>
      </c>
      <c r="BB34" s="1">
        <f t="shared" si="13"/>
        <v>1</v>
      </c>
      <c r="BC34" s="1">
        <f>3+1+3+2+3+2+1+2+3+2+2+1</f>
        <v>25</v>
      </c>
      <c r="BD34" s="1">
        <f t="shared" si="26"/>
        <v>1</v>
      </c>
      <c r="BE34" s="1">
        <f>1+7+1+4+2+2+2+1+4+3+1+4+1+4+7</f>
        <v>44</v>
      </c>
    </row>
    <row r="35" spans="1:57" x14ac:dyDescent="0.2">
      <c r="A35" s="1">
        <v>34</v>
      </c>
      <c r="B35" s="3">
        <v>45915</v>
      </c>
      <c r="C35" s="1">
        <v>1956</v>
      </c>
      <c r="D35" s="1">
        <f t="shared" si="0"/>
        <v>69</v>
      </c>
      <c r="E35" s="1" t="s">
        <v>10</v>
      </c>
      <c r="F35" s="1">
        <v>97</v>
      </c>
      <c r="G35" s="4">
        <v>1.72</v>
      </c>
      <c r="H35" s="4">
        <f t="shared" si="1"/>
        <v>32.787993510005407</v>
      </c>
      <c r="I35" s="1" t="s">
        <v>11</v>
      </c>
      <c r="J35" s="1">
        <v>40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3">
        <v>45895</v>
      </c>
      <c r="U35" s="1">
        <v>3.5</v>
      </c>
      <c r="V35" s="1">
        <v>90</v>
      </c>
      <c r="W35" s="1">
        <v>72</v>
      </c>
      <c r="X35" s="1">
        <f t="shared" si="25"/>
        <v>1</v>
      </c>
      <c r="Y35" s="1">
        <v>4</v>
      </c>
      <c r="Z35" s="1">
        <v>0</v>
      </c>
      <c r="AA35" s="1">
        <f t="shared" si="4"/>
        <v>0</v>
      </c>
      <c r="AB35" s="1">
        <v>43</v>
      </c>
      <c r="AC35" s="1">
        <f t="shared" si="5"/>
        <v>0</v>
      </c>
      <c r="AD35" s="1">
        <f t="shared" si="16"/>
        <v>0</v>
      </c>
      <c r="AE35" s="1">
        <f t="shared" si="6"/>
        <v>47.9</v>
      </c>
      <c r="AF35" s="1">
        <f t="shared" si="7"/>
        <v>0</v>
      </c>
      <c r="AG35" s="1">
        <v>1.5</v>
      </c>
      <c r="AH35" s="1">
        <v>9</v>
      </c>
      <c r="AI35" s="1">
        <v>34</v>
      </c>
      <c r="AJ35" s="1">
        <v>40</v>
      </c>
      <c r="AK35" s="1">
        <v>58</v>
      </c>
      <c r="AL35" s="1">
        <v>55</v>
      </c>
      <c r="AM35" s="1">
        <v>500</v>
      </c>
      <c r="AN35" s="4">
        <f t="shared" si="28"/>
        <v>17.345165609600002</v>
      </c>
      <c r="AO35" s="1">
        <f t="shared" si="29"/>
        <v>28.6</v>
      </c>
      <c r="AP35" s="4">
        <f t="shared" si="30"/>
        <v>5.8630224478096276</v>
      </c>
      <c r="AQ35" s="6">
        <f t="shared" si="31"/>
        <v>0</v>
      </c>
      <c r="AR35" s="6">
        <f t="shared" si="32"/>
        <v>0</v>
      </c>
      <c r="AS35" s="1">
        <v>0</v>
      </c>
      <c r="AT35" s="1">
        <f t="shared" si="8"/>
        <v>0</v>
      </c>
      <c r="AU35" s="1">
        <f t="shared" si="9"/>
        <v>0</v>
      </c>
      <c r="AV35" s="1" t="str">
        <f t="shared" si="10"/>
        <v>robuste</v>
      </c>
      <c r="AW35" s="1">
        <v>0</v>
      </c>
      <c r="AX35" s="1">
        <f t="shared" si="11"/>
        <v>0</v>
      </c>
      <c r="AY35" s="1">
        <v>2</v>
      </c>
      <c r="AZ35" s="1">
        <f t="shared" si="12"/>
        <v>0</v>
      </c>
      <c r="BA35" s="1">
        <v>2</v>
      </c>
      <c r="BB35" s="1">
        <f t="shared" si="13"/>
        <v>0</v>
      </c>
      <c r="BC35" s="1">
        <f>1+1+1+0+2+1+2+1+1+2+1+1+1</f>
        <v>15</v>
      </c>
      <c r="BD35" s="1">
        <f t="shared" si="26"/>
        <v>1</v>
      </c>
      <c r="BE35" s="1">
        <f>5+6+6+6+1+7+4+6+7+7+7+6+7+7+7</f>
        <v>89</v>
      </c>
    </row>
    <row r="36" spans="1:57" x14ac:dyDescent="0.2">
      <c r="A36" s="1">
        <v>35</v>
      </c>
      <c r="B36" s="3">
        <v>45896</v>
      </c>
      <c r="C36" s="1">
        <v>1950</v>
      </c>
      <c r="D36" s="1">
        <f t="shared" si="0"/>
        <v>75</v>
      </c>
      <c r="E36" s="1" t="s">
        <v>10</v>
      </c>
      <c r="F36" s="1">
        <v>104</v>
      </c>
      <c r="G36" s="4">
        <v>1.8</v>
      </c>
      <c r="H36" s="4">
        <f t="shared" si="1"/>
        <v>32.098765432098766</v>
      </c>
      <c r="I36" s="1" t="s">
        <v>11</v>
      </c>
      <c r="J36" s="1">
        <v>50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2</v>
      </c>
      <c r="R36" s="1">
        <v>0</v>
      </c>
      <c r="S36" s="1">
        <v>0</v>
      </c>
      <c r="T36" s="3">
        <v>45772</v>
      </c>
      <c r="V36" s="1">
        <v>69</v>
      </c>
      <c r="W36" s="1">
        <v>47</v>
      </c>
      <c r="X36" s="1">
        <f t="shared" si="25"/>
        <v>3</v>
      </c>
      <c r="Y36" s="1">
        <v>8</v>
      </c>
      <c r="Z36" s="1">
        <v>1</v>
      </c>
      <c r="AA36" s="1">
        <f t="shared" si="4"/>
        <v>0</v>
      </c>
      <c r="AB36" s="1">
        <v>40</v>
      </c>
      <c r="AC36" s="1">
        <f t="shared" si="5"/>
        <v>1</v>
      </c>
      <c r="AD36" s="1">
        <f t="shared" si="16"/>
        <v>0</v>
      </c>
      <c r="AE36" s="1">
        <f t="shared" si="6"/>
        <v>53.18</v>
      </c>
      <c r="AF36" s="1">
        <f t="shared" si="7"/>
        <v>0</v>
      </c>
      <c r="AG36" s="1">
        <v>2</v>
      </c>
      <c r="AH36" s="1">
        <v>17</v>
      </c>
      <c r="AI36" s="1">
        <v>38</v>
      </c>
      <c r="AS36" s="1">
        <v>1</v>
      </c>
      <c r="AT36" s="1">
        <f t="shared" si="8"/>
        <v>0</v>
      </c>
      <c r="AU36" s="1">
        <f t="shared" si="9"/>
        <v>1</v>
      </c>
      <c r="AV36" s="1" t="str">
        <f t="shared" si="10"/>
        <v>préfragile</v>
      </c>
      <c r="AW36" s="1">
        <v>1</v>
      </c>
      <c r="AX36" s="1">
        <f t="shared" si="11"/>
        <v>0</v>
      </c>
      <c r="AY36" s="1">
        <v>3</v>
      </c>
      <c r="AZ36" s="1">
        <f t="shared" si="12"/>
        <v>0</v>
      </c>
      <c r="BA36" s="1">
        <v>2</v>
      </c>
      <c r="BB36" s="1">
        <f t="shared" si="13"/>
        <v>0</v>
      </c>
      <c r="BC36" s="1">
        <f>1+1+1+1+1</f>
        <v>5</v>
      </c>
      <c r="BD36" s="1">
        <f t="shared" si="26"/>
        <v>0</v>
      </c>
      <c r="BE36" s="1">
        <f>3+4+4+7+3+4+6+5+6+6+6+5+6+5+7</f>
        <v>77</v>
      </c>
    </row>
    <row r="37" spans="1:57" x14ac:dyDescent="0.2">
      <c r="A37" s="1">
        <v>36</v>
      </c>
      <c r="B37" s="3">
        <v>45898</v>
      </c>
      <c r="C37" s="1">
        <v>1936</v>
      </c>
      <c r="D37" s="1">
        <f t="shared" si="0"/>
        <v>89</v>
      </c>
      <c r="E37" s="1" t="s">
        <v>12</v>
      </c>
      <c r="F37" s="1">
        <v>33</v>
      </c>
      <c r="G37" s="4">
        <v>1.47</v>
      </c>
      <c r="H37" s="4">
        <f t="shared" si="1"/>
        <v>15.27141468832431</v>
      </c>
      <c r="I37" s="1" t="s">
        <v>13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2</v>
      </c>
      <c r="R37" s="1">
        <v>0</v>
      </c>
      <c r="S37" s="1">
        <v>0</v>
      </c>
      <c r="T37" s="3">
        <v>45898</v>
      </c>
      <c r="U37" s="1">
        <v>1.2</v>
      </c>
      <c r="V37" s="1">
        <v>106</v>
      </c>
      <c r="X37" s="1">
        <f t="shared" si="25"/>
        <v>2</v>
      </c>
      <c r="Y37" s="1">
        <v>5</v>
      </c>
      <c r="AB37" s="1">
        <v>26</v>
      </c>
      <c r="AE37" s="1">
        <f>IF(E37="M",0.62*(D37-64)-3.09*(AI37-50)-4.64*(AB37-42),0.8*(D37-64)-5.09*(AI37-34)-3.28*(AB37-42))</f>
        <v>209.91</v>
      </c>
      <c r="AF37" s="1">
        <f t="shared" si="7"/>
        <v>1</v>
      </c>
      <c r="AG37" s="1">
        <v>9</v>
      </c>
      <c r="AH37" s="1">
        <v>27</v>
      </c>
      <c r="AI37" s="1">
        <v>7</v>
      </c>
      <c r="AS37" s="1">
        <v>5</v>
      </c>
      <c r="AT37" s="1">
        <f t="shared" si="8"/>
        <v>1</v>
      </c>
      <c r="AU37" s="1">
        <f t="shared" si="9"/>
        <v>0</v>
      </c>
      <c r="AV37" s="1" t="str">
        <f t="shared" si="10"/>
        <v>fragile</v>
      </c>
      <c r="AW37" s="1">
        <v>4</v>
      </c>
      <c r="AX37" s="1">
        <f t="shared" si="11"/>
        <v>1</v>
      </c>
      <c r="AY37" s="1">
        <v>6</v>
      </c>
      <c r="AZ37" s="1">
        <f t="shared" si="12"/>
        <v>1</v>
      </c>
      <c r="BA37" s="1">
        <v>7</v>
      </c>
      <c r="BB37" s="1">
        <f t="shared" si="13"/>
        <v>1</v>
      </c>
      <c r="BC37" s="1">
        <f>3+3+1+1+2+2+3+2+1+1+2+1</f>
        <v>22</v>
      </c>
      <c r="BD37" s="1">
        <f t="shared" si="26"/>
        <v>1</v>
      </c>
      <c r="BE37" s="1">
        <f>1+7+4+3+1+6+6+4+7+5+3+6+2+5+5</f>
        <v>65</v>
      </c>
    </row>
    <row r="38" spans="1:57" x14ac:dyDescent="0.2">
      <c r="A38" s="1">
        <v>37</v>
      </c>
      <c r="B38" s="3">
        <v>45929</v>
      </c>
      <c r="C38" s="1">
        <v>1954</v>
      </c>
      <c r="D38" s="1">
        <f t="shared" si="0"/>
        <v>71</v>
      </c>
      <c r="E38" s="1" t="s">
        <v>10</v>
      </c>
      <c r="F38" s="1">
        <v>77</v>
      </c>
      <c r="G38" s="4">
        <v>1.65</v>
      </c>
      <c r="H38" s="4">
        <f t="shared" si="1"/>
        <v>28.282828282828287</v>
      </c>
      <c r="I38" s="1" t="s">
        <v>11</v>
      </c>
      <c r="J38" s="1">
        <v>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3">
        <v>45929</v>
      </c>
      <c r="U38" s="1">
        <v>3.65</v>
      </c>
      <c r="V38" s="1">
        <v>101</v>
      </c>
      <c r="W38" s="1">
        <v>46</v>
      </c>
      <c r="X38" s="1">
        <f t="shared" si="25"/>
        <v>2</v>
      </c>
      <c r="Y38" s="1">
        <v>7</v>
      </c>
      <c r="Z38" s="1">
        <v>1</v>
      </c>
      <c r="AA38" s="1">
        <f t="shared" si="4"/>
        <v>0</v>
      </c>
      <c r="AB38" s="1">
        <v>38</v>
      </c>
      <c r="AC38" s="1">
        <f t="shared" si="5"/>
        <v>1</v>
      </c>
      <c r="AD38" s="1">
        <f t="shared" si="16"/>
        <v>0</v>
      </c>
      <c r="AE38" s="1">
        <f t="shared" si="6"/>
        <v>90.88</v>
      </c>
      <c r="AF38" s="1">
        <f t="shared" ref="AF38:AF48" si="33">IF(E38="M",IF(AE38&gt;105,1,0),IF(AE38&gt;120,1,0))</f>
        <v>0</v>
      </c>
      <c r="AG38" s="1">
        <v>3</v>
      </c>
      <c r="AH38" s="1">
        <v>5</v>
      </c>
      <c r="AI38" s="1">
        <v>28</v>
      </c>
      <c r="AJ38" s="1">
        <v>20</v>
      </c>
      <c r="AK38" s="1">
        <v>57</v>
      </c>
      <c r="AL38" s="1">
        <v>55</v>
      </c>
      <c r="AM38" s="1">
        <v>409</v>
      </c>
      <c r="AN38" s="4">
        <f t="shared" ref="AN38" si="34">IF(E38="M",0.197*G38*G38/AM38+0.179*F38-0.019,0.221*G38*G38/AM38+0.117*F38-0.881)</f>
        <v>13.765311326405868</v>
      </c>
      <c r="AO38" s="1">
        <f t="shared" ref="AO38" si="35">0.52*AL38</f>
        <v>28.6</v>
      </c>
      <c r="AP38" s="4">
        <f t="shared" ref="AP38" si="36">AN38/G38/G38</f>
        <v>5.0561290455117973</v>
      </c>
      <c r="AQ38" s="6">
        <f t="shared" ref="AQ38" si="37">IF(AND(E38="F",OR(AI38&lt;16,AH38&gt;15),AP38&lt;5.5),1,IF(AND(E38="M",OR(AI38&lt;27,AH38&gt;15),AP38&lt;7),1,0))</f>
        <v>0</v>
      </c>
      <c r="AR38" s="6">
        <f t="shared" ref="AR38" si="38">IF(AND(AQ38=1,AG38&gt;4),1,0)</f>
        <v>0</v>
      </c>
      <c r="AS38" s="1">
        <v>0</v>
      </c>
      <c r="AT38" s="1">
        <f t="shared" si="8"/>
        <v>0</v>
      </c>
      <c r="AU38" s="1">
        <f t="shared" si="9"/>
        <v>0</v>
      </c>
      <c r="AV38" s="1" t="str">
        <f t="shared" si="10"/>
        <v>robuste</v>
      </c>
      <c r="AW38" s="1">
        <v>1</v>
      </c>
      <c r="AX38" s="1">
        <f t="shared" si="11"/>
        <v>0</v>
      </c>
      <c r="AY38" s="1">
        <v>3</v>
      </c>
      <c r="AZ38" s="1">
        <f t="shared" si="12"/>
        <v>0</v>
      </c>
      <c r="BA38" s="1">
        <v>3</v>
      </c>
      <c r="BB38" s="1">
        <f t="shared" si="13"/>
        <v>0</v>
      </c>
      <c r="BC38" s="1">
        <f>1+1+1+1+3</f>
        <v>7</v>
      </c>
      <c r="BD38" s="1">
        <f t="shared" si="26"/>
        <v>0</v>
      </c>
      <c r="BE38" s="1">
        <f>6+7+7+7+6+7+7+7+7+7+7+7+7+7+7</f>
        <v>103</v>
      </c>
    </row>
    <row r="39" spans="1:57" x14ac:dyDescent="0.2">
      <c r="A39" s="1">
        <v>38</v>
      </c>
      <c r="B39" s="3">
        <v>45933</v>
      </c>
      <c r="C39" s="1">
        <v>1949</v>
      </c>
      <c r="D39" s="1">
        <f t="shared" si="0"/>
        <v>76</v>
      </c>
      <c r="E39" s="1" t="s">
        <v>10</v>
      </c>
      <c r="F39" s="1">
        <v>86</v>
      </c>
      <c r="G39" s="4">
        <v>1.76</v>
      </c>
      <c r="H39" s="4">
        <f t="shared" si="1"/>
        <v>27.763429752066116</v>
      </c>
      <c r="I39" s="1" t="s">
        <v>11</v>
      </c>
      <c r="J39" s="1">
        <v>10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3">
        <v>45866</v>
      </c>
      <c r="U39" s="1">
        <v>3.3</v>
      </c>
      <c r="V39" s="1">
        <v>84</v>
      </c>
      <c r="W39" s="1">
        <v>62</v>
      </c>
      <c r="X39" s="1">
        <f t="shared" si="25"/>
        <v>1</v>
      </c>
      <c r="Y39" s="1">
        <v>5</v>
      </c>
      <c r="Z39" s="1">
        <v>0</v>
      </c>
      <c r="AA39" s="1">
        <f t="shared" si="4"/>
        <v>0</v>
      </c>
      <c r="AB39" s="1">
        <v>36</v>
      </c>
      <c r="AC39" s="1">
        <f t="shared" si="5"/>
        <v>0</v>
      </c>
      <c r="AD39" s="1">
        <f t="shared" si="16"/>
        <v>0</v>
      </c>
      <c r="AE39" s="1">
        <f t="shared" si="6"/>
        <v>78.539999999999992</v>
      </c>
      <c r="AF39" s="1">
        <f t="shared" si="33"/>
        <v>0</v>
      </c>
      <c r="AG39" s="1">
        <v>2.7</v>
      </c>
      <c r="AH39" s="1">
        <v>10</v>
      </c>
      <c r="AI39" s="1">
        <v>36</v>
      </c>
      <c r="AJ39" s="1">
        <v>32</v>
      </c>
      <c r="AK39" s="1">
        <v>65</v>
      </c>
      <c r="AL39" s="1">
        <v>61</v>
      </c>
      <c r="AM39" s="1">
        <v>439</v>
      </c>
      <c r="AN39" s="4">
        <f t="shared" ref="AN39" si="39">IF(E39="M",0.197*G39*G39/AM39+0.179*F39-0.019,0.221*G39*G39/AM39+0.117*F39-0.881)</f>
        <v>15.376390039179954</v>
      </c>
      <c r="AO39" s="1">
        <f t="shared" ref="AO39" si="40">0.52*AL39</f>
        <v>31.720000000000002</v>
      </c>
      <c r="AP39" s="4">
        <f t="shared" ref="AP39" si="41">AN39/G39/G39</f>
        <v>4.9639688917807181</v>
      </c>
      <c r="AQ39" s="6">
        <f t="shared" ref="AQ39" si="42">IF(AND(E39="F",OR(AI39&lt;16,AH39&gt;15),AP39&lt;5.5),1,IF(AND(E39="M",OR(AI39&lt;27,AH39&gt;15),AP39&lt;7),1,0))</f>
        <v>0</v>
      </c>
      <c r="AR39" s="6">
        <f t="shared" ref="AR39" si="43">IF(AND(AQ39=1,AG39&gt;4),1,0)</f>
        <v>0</v>
      </c>
      <c r="AS39" s="1">
        <v>1</v>
      </c>
      <c r="AT39" s="1">
        <f t="shared" si="8"/>
        <v>0</v>
      </c>
      <c r="AU39" s="1">
        <f t="shared" si="9"/>
        <v>1</v>
      </c>
      <c r="AV39" s="1" t="str">
        <f t="shared" si="10"/>
        <v>préfragile</v>
      </c>
      <c r="AW39" s="1">
        <v>1</v>
      </c>
      <c r="AX39" s="1">
        <f t="shared" si="11"/>
        <v>0</v>
      </c>
      <c r="AY39" s="1">
        <v>0</v>
      </c>
      <c r="AZ39" s="1">
        <f t="shared" si="12"/>
        <v>0</v>
      </c>
      <c r="BA39" s="1">
        <v>2</v>
      </c>
      <c r="BB39" s="1">
        <f t="shared" si="13"/>
        <v>0</v>
      </c>
      <c r="BC39" s="1">
        <f>2+5+6+2+5+4+4+4</f>
        <v>32</v>
      </c>
      <c r="BD39" s="1">
        <f t="shared" si="26"/>
        <v>1</v>
      </c>
      <c r="BE39" s="1">
        <f>3+6+4+5+7+7+7+1+1+1+1+1</f>
        <v>44</v>
      </c>
    </row>
    <row r="40" spans="1:57" x14ac:dyDescent="0.2">
      <c r="A40" s="1">
        <v>39</v>
      </c>
      <c r="B40" s="3">
        <v>45946</v>
      </c>
      <c r="C40" s="1">
        <v>1956</v>
      </c>
      <c r="D40" s="1">
        <f t="shared" si="0"/>
        <v>69</v>
      </c>
      <c r="E40" s="1" t="s">
        <v>10</v>
      </c>
      <c r="F40" s="1">
        <v>57</v>
      </c>
      <c r="G40" s="4">
        <v>1.65</v>
      </c>
      <c r="H40" s="4">
        <f t="shared" si="1"/>
        <v>20.9366391184573</v>
      </c>
      <c r="I40" s="1" t="s">
        <v>11</v>
      </c>
      <c r="J40" s="1">
        <v>8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3">
        <v>45868</v>
      </c>
      <c r="U40" s="1">
        <v>3.02</v>
      </c>
      <c r="V40" s="1">
        <v>85</v>
      </c>
      <c r="W40" s="1">
        <v>78</v>
      </c>
      <c r="X40" s="1">
        <f t="shared" si="25"/>
        <v>1</v>
      </c>
      <c r="Y40" s="1">
        <v>3</v>
      </c>
      <c r="Z40" s="1">
        <v>1</v>
      </c>
      <c r="AA40" s="1">
        <f t="shared" si="4"/>
        <v>0</v>
      </c>
      <c r="AB40" s="1">
        <v>32</v>
      </c>
      <c r="AC40" s="1">
        <f t="shared" si="5"/>
        <v>11</v>
      </c>
      <c r="AD40" s="1">
        <f t="shared" si="16"/>
        <v>1</v>
      </c>
      <c r="AE40" s="1">
        <f t="shared" si="6"/>
        <v>92.759999999999991</v>
      </c>
      <c r="AF40" s="1">
        <f t="shared" si="33"/>
        <v>0</v>
      </c>
      <c r="AG40" s="1">
        <v>2</v>
      </c>
      <c r="AH40" s="1">
        <v>11</v>
      </c>
      <c r="AI40" s="1">
        <v>36</v>
      </c>
      <c r="AJ40" s="1">
        <v>11</v>
      </c>
      <c r="AK40" s="1">
        <v>48</v>
      </c>
      <c r="AL40" s="1">
        <v>46</v>
      </c>
      <c r="AM40" s="1">
        <v>519</v>
      </c>
      <c r="AN40" s="4">
        <f t="shared" ref="AN40:AN48" si="44">IF(E40="M",0.197*G40*G40/AM40+0.179*F40-0.019,0.221*G40*G40/AM40+0.117*F40-0.881)</f>
        <v>10.185033395953756</v>
      </c>
      <c r="AO40" s="1">
        <f t="shared" ref="AO40:AO48" si="45">0.52*AL40</f>
        <v>23.92</v>
      </c>
      <c r="AP40" s="4">
        <f t="shared" ref="AP40:AP48" si="46">AN40/G40/G40</f>
        <v>3.7410590986056036</v>
      </c>
      <c r="AQ40" s="6">
        <f t="shared" ref="AQ40" si="47">IF(AND(E40="F",OR(AI40&lt;16,AH40&gt;15),AP40&lt;5.5),1,IF(AND(E40="M",OR(AI40&lt;27,AH40&gt;15),AP40&lt;7),1,0))</f>
        <v>0</v>
      </c>
      <c r="AR40" s="6">
        <f t="shared" ref="AR40" si="48">IF(AND(AQ40=1,AG40&gt;4),1,0)</f>
        <v>0</v>
      </c>
      <c r="AS40" s="1">
        <v>0</v>
      </c>
      <c r="AT40" s="1">
        <f t="shared" si="8"/>
        <v>0</v>
      </c>
      <c r="AU40" s="1">
        <f t="shared" si="9"/>
        <v>0</v>
      </c>
      <c r="AV40" s="1" t="str">
        <f t="shared" si="10"/>
        <v>robuste</v>
      </c>
      <c r="AW40" s="1">
        <v>0</v>
      </c>
      <c r="AX40" s="1">
        <f t="shared" si="11"/>
        <v>0</v>
      </c>
      <c r="AY40" s="1">
        <v>2</v>
      </c>
      <c r="AZ40" s="1">
        <f t="shared" si="12"/>
        <v>0</v>
      </c>
      <c r="BA40" s="1">
        <v>0</v>
      </c>
      <c r="BB40" s="1">
        <f t="shared" si="13"/>
        <v>0</v>
      </c>
      <c r="BC40" s="1">
        <f>1+1+1+1+2+1+1</f>
        <v>8</v>
      </c>
      <c r="BD40" s="1">
        <f t="shared" si="26"/>
        <v>0</v>
      </c>
      <c r="BE40" s="1">
        <f>7+6+5+2+4+6+6+6+7+4+5+4+4+7+7</f>
        <v>80</v>
      </c>
    </row>
    <row r="41" spans="1:57" x14ac:dyDescent="0.2">
      <c r="A41" s="1">
        <v>40</v>
      </c>
      <c r="B41" s="3">
        <v>45957</v>
      </c>
      <c r="C41" s="1">
        <v>1950</v>
      </c>
      <c r="D41" s="1">
        <f t="shared" si="0"/>
        <v>75</v>
      </c>
      <c r="E41" s="1" t="s">
        <v>10</v>
      </c>
      <c r="F41" s="1">
        <v>100</v>
      </c>
      <c r="G41" s="4">
        <v>1.59</v>
      </c>
      <c r="H41" s="4">
        <f t="shared" si="1"/>
        <v>39.555397333966212</v>
      </c>
      <c r="I41" s="1" t="s">
        <v>11</v>
      </c>
      <c r="J41" s="1">
        <v>10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3">
        <v>45826</v>
      </c>
      <c r="U41" s="1">
        <v>1.88</v>
      </c>
      <c r="V41" s="1">
        <v>64</v>
      </c>
      <c r="W41" s="1">
        <v>48</v>
      </c>
      <c r="X41" s="1">
        <f t="shared" si="25"/>
        <v>3</v>
      </c>
      <c r="Y41" s="1">
        <v>5</v>
      </c>
      <c r="Z41" s="1">
        <v>1</v>
      </c>
      <c r="AA41" s="1">
        <f t="shared" si="4"/>
        <v>0</v>
      </c>
      <c r="AB41" s="1">
        <v>43</v>
      </c>
      <c r="AC41" s="1">
        <f t="shared" si="5"/>
        <v>1</v>
      </c>
      <c r="AD41" s="1">
        <f t="shared" si="16"/>
        <v>0</v>
      </c>
      <c r="AE41" s="1">
        <f t="shared" si="6"/>
        <v>20.72</v>
      </c>
      <c r="AF41" s="1">
        <f t="shared" si="33"/>
        <v>0</v>
      </c>
      <c r="AG41" s="1">
        <v>3</v>
      </c>
      <c r="AH41" s="1">
        <v>12.8</v>
      </c>
      <c r="AI41" s="1">
        <v>44</v>
      </c>
      <c r="AJ41" s="1">
        <v>37</v>
      </c>
      <c r="AK41" s="1">
        <v>65</v>
      </c>
      <c r="AL41" s="1">
        <v>62</v>
      </c>
      <c r="AM41" s="1">
        <v>316</v>
      </c>
      <c r="AN41" s="4">
        <f t="shared" si="44"/>
        <v>17.882576062341773</v>
      </c>
      <c r="AO41" s="1">
        <f t="shared" si="45"/>
        <v>32.24</v>
      </c>
      <c r="AP41" s="4">
        <f t="shared" si="46"/>
        <v>7.0735240150080188</v>
      </c>
      <c r="AQ41" s="6">
        <f t="shared" ref="AQ41:AQ48" si="49">IF(AND(E41="F",OR(AI41&lt;16,AH41&gt;15),AP41&lt;5.5),1,IF(AND(E41="M",OR(AI41&lt;27,AH41&gt;15),AP41&lt;7),1,0))</f>
        <v>0</v>
      </c>
      <c r="AR41" s="6">
        <f t="shared" ref="AR41:AR48" si="50">IF(AND(AQ41=1,AG41&gt;4),1,0)</f>
        <v>0</v>
      </c>
      <c r="AS41" s="1">
        <v>1</v>
      </c>
      <c r="AT41" s="1">
        <f t="shared" si="8"/>
        <v>0</v>
      </c>
      <c r="AU41" s="1">
        <f t="shared" si="9"/>
        <v>1</v>
      </c>
      <c r="AV41" s="1" t="str">
        <f t="shared" si="10"/>
        <v>préfragile</v>
      </c>
      <c r="AW41" s="1">
        <v>3</v>
      </c>
      <c r="AX41" s="1">
        <f t="shared" si="11"/>
        <v>1</v>
      </c>
      <c r="AY41" s="1">
        <v>3</v>
      </c>
      <c r="AZ41" s="1">
        <f t="shared" si="12"/>
        <v>0</v>
      </c>
      <c r="BA41" s="1">
        <v>4</v>
      </c>
      <c r="BB41" s="1">
        <f t="shared" si="13"/>
        <v>0</v>
      </c>
      <c r="BC41" s="1">
        <f>1+1+2+1+1+2+2+1+2+1+1</f>
        <v>15</v>
      </c>
      <c r="BD41" s="1">
        <f t="shared" si="26"/>
        <v>1</v>
      </c>
      <c r="BE41" s="1">
        <f>1+2+1+7+1+2+4+5+7+5+4+4+5+5+7</f>
        <v>60</v>
      </c>
    </row>
    <row r="42" spans="1:57" x14ac:dyDescent="0.2">
      <c r="A42" s="1">
        <v>41</v>
      </c>
      <c r="B42" s="3">
        <v>45957</v>
      </c>
      <c r="C42" s="1">
        <v>1947</v>
      </c>
      <c r="D42" s="1">
        <f t="shared" si="0"/>
        <v>78</v>
      </c>
      <c r="E42" s="1" t="s">
        <v>10</v>
      </c>
      <c r="F42" s="1">
        <v>62</v>
      </c>
      <c r="G42" s="4">
        <v>1.67</v>
      </c>
      <c r="H42" s="4">
        <f t="shared" si="1"/>
        <v>22.230987127541326</v>
      </c>
      <c r="I42" s="1" t="s">
        <v>11</v>
      </c>
      <c r="J42" s="1">
        <v>5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2</v>
      </c>
      <c r="R42" s="1">
        <v>0</v>
      </c>
      <c r="S42" s="1">
        <v>0</v>
      </c>
      <c r="T42" s="3">
        <v>45981</v>
      </c>
      <c r="U42" s="1">
        <v>3.55</v>
      </c>
      <c r="V42" s="1">
        <v>108</v>
      </c>
      <c r="W42" s="1">
        <v>72</v>
      </c>
      <c r="X42" s="1">
        <f t="shared" si="25"/>
        <v>1</v>
      </c>
      <c r="Y42" s="1">
        <v>4</v>
      </c>
      <c r="Z42" s="1">
        <v>0</v>
      </c>
      <c r="AA42" s="1">
        <f t="shared" si="4"/>
        <v>0</v>
      </c>
      <c r="AB42" s="1">
        <v>32</v>
      </c>
      <c r="AC42" s="1">
        <f t="shared" si="5"/>
        <v>10</v>
      </c>
      <c r="AD42" s="1">
        <f t="shared" si="16"/>
        <v>0</v>
      </c>
      <c r="AE42" s="1">
        <f t="shared" si="6"/>
        <v>110.69999999999999</v>
      </c>
      <c r="AF42" s="1">
        <f t="shared" si="33"/>
        <v>1</v>
      </c>
      <c r="AG42" s="1">
        <v>3.5</v>
      </c>
      <c r="AH42" s="1">
        <v>14</v>
      </c>
      <c r="AI42" s="1">
        <v>32</v>
      </c>
      <c r="AJ42" s="1">
        <v>14</v>
      </c>
      <c r="AK42" s="1">
        <v>51</v>
      </c>
      <c r="AL42" s="1">
        <v>59</v>
      </c>
      <c r="AM42" s="1">
        <v>482</v>
      </c>
      <c r="AN42" s="4">
        <f t="shared" si="44"/>
        <v>11.080139861618257</v>
      </c>
      <c r="AO42" s="1">
        <f t="shared" si="45"/>
        <v>30.68</v>
      </c>
      <c r="AP42" s="4">
        <f t="shared" si="46"/>
        <v>3.9729426876611775</v>
      </c>
      <c r="AQ42" s="6">
        <f t="shared" si="49"/>
        <v>0</v>
      </c>
      <c r="AR42" s="6">
        <f t="shared" si="50"/>
        <v>0</v>
      </c>
      <c r="AS42" s="1">
        <v>0</v>
      </c>
      <c r="AT42" s="1">
        <f t="shared" si="8"/>
        <v>0</v>
      </c>
      <c r="AU42" s="1">
        <f t="shared" si="9"/>
        <v>0</v>
      </c>
      <c r="AV42" s="1" t="str">
        <f t="shared" si="10"/>
        <v>robuste</v>
      </c>
      <c r="AW42" s="1">
        <v>0</v>
      </c>
      <c r="AX42" s="1">
        <f t="shared" si="11"/>
        <v>0</v>
      </c>
      <c r="AY42" s="1">
        <v>2</v>
      </c>
      <c r="AZ42" s="1">
        <f t="shared" si="12"/>
        <v>0</v>
      </c>
      <c r="BA42" s="1">
        <v>2</v>
      </c>
      <c r="BB42" s="1">
        <f t="shared" si="13"/>
        <v>0</v>
      </c>
      <c r="BC42" s="1">
        <v>25</v>
      </c>
      <c r="BD42" s="1">
        <f t="shared" si="26"/>
        <v>1</v>
      </c>
      <c r="BE42" s="1">
        <f>1+1+1+4+1+1+3+4+1+1+2+1+5+3+7</f>
        <v>36</v>
      </c>
    </row>
    <row r="43" spans="1:57" x14ac:dyDescent="0.2">
      <c r="A43" s="1">
        <v>42</v>
      </c>
      <c r="B43" s="3">
        <v>46009</v>
      </c>
      <c r="C43" s="1">
        <v>1938</v>
      </c>
      <c r="D43" s="1">
        <f t="shared" si="0"/>
        <v>87</v>
      </c>
      <c r="E43" s="1" t="s">
        <v>10</v>
      </c>
      <c r="F43" s="1">
        <v>87</v>
      </c>
      <c r="G43" s="4">
        <v>1.69</v>
      </c>
      <c r="H43" s="4">
        <f t="shared" si="1"/>
        <v>30.461118308182488</v>
      </c>
      <c r="I43" s="1" t="s">
        <v>11</v>
      </c>
      <c r="J43" s="1">
        <v>25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3</v>
      </c>
      <c r="R43" s="1">
        <v>0</v>
      </c>
      <c r="S43" s="1">
        <v>0</v>
      </c>
      <c r="T43" s="3">
        <v>45867</v>
      </c>
      <c r="U43" s="1">
        <v>2.63</v>
      </c>
      <c r="V43" s="1">
        <v>83</v>
      </c>
      <c r="W43" s="1">
        <v>55</v>
      </c>
      <c r="X43" s="1">
        <f t="shared" si="25"/>
        <v>1</v>
      </c>
      <c r="Y43" s="1">
        <v>5</v>
      </c>
      <c r="Z43" s="1">
        <v>2</v>
      </c>
      <c r="AA43" s="1">
        <f t="shared" si="4"/>
        <v>0</v>
      </c>
      <c r="AB43" s="1">
        <v>40</v>
      </c>
      <c r="AC43" s="1">
        <f t="shared" si="5"/>
        <v>2</v>
      </c>
      <c r="AD43" s="1">
        <f t="shared" si="16"/>
        <v>0</v>
      </c>
      <c r="AE43" s="1">
        <f t="shared" si="6"/>
        <v>85.34</v>
      </c>
      <c r="AF43" s="1">
        <f t="shared" si="33"/>
        <v>0</v>
      </c>
      <c r="AG43" s="1">
        <v>4.67</v>
      </c>
      <c r="AH43" s="1">
        <v>18</v>
      </c>
      <c r="AI43" s="1">
        <v>30</v>
      </c>
      <c r="AJ43" s="1">
        <v>22</v>
      </c>
      <c r="AK43" s="1">
        <v>62</v>
      </c>
      <c r="AL43" s="1">
        <v>59</v>
      </c>
      <c r="AM43" s="1">
        <v>357</v>
      </c>
      <c r="AN43" s="4">
        <f t="shared" si="44"/>
        <v>15.555576055182071</v>
      </c>
      <c r="AO43" s="1">
        <f t="shared" si="45"/>
        <v>30.68</v>
      </c>
      <c r="AP43" s="4">
        <f t="shared" si="46"/>
        <v>5.446439569756687</v>
      </c>
      <c r="AQ43" s="6">
        <f t="shared" si="49"/>
        <v>1</v>
      </c>
      <c r="AR43" s="6">
        <f t="shared" si="50"/>
        <v>1</v>
      </c>
      <c r="AW43" s="1">
        <v>2</v>
      </c>
      <c r="AX43" s="1">
        <f t="shared" si="11"/>
        <v>0</v>
      </c>
      <c r="AY43" s="1">
        <v>5</v>
      </c>
      <c r="AZ43" s="1">
        <f t="shared" si="12"/>
        <v>1</v>
      </c>
      <c r="BA43" s="1">
        <v>2</v>
      </c>
      <c r="BB43" s="1">
        <f t="shared" si="13"/>
        <v>0</v>
      </c>
      <c r="BC43" s="1">
        <v>18</v>
      </c>
      <c r="BD43" s="1">
        <f t="shared" si="26"/>
        <v>1</v>
      </c>
      <c r="BE43" s="1">
        <f>2+3+6+4+4+4+3+6+4+7+2+6+2+6+6</f>
        <v>65</v>
      </c>
    </row>
    <row r="44" spans="1:57" x14ac:dyDescent="0.2">
      <c r="A44" s="1">
        <v>43</v>
      </c>
      <c r="B44" s="3">
        <v>46009</v>
      </c>
      <c r="C44" s="1">
        <v>1941</v>
      </c>
      <c r="D44" s="1">
        <f t="shared" si="0"/>
        <v>84</v>
      </c>
      <c r="E44" s="1" t="s">
        <v>12</v>
      </c>
      <c r="F44" s="1">
        <v>37</v>
      </c>
      <c r="G44" s="4">
        <v>1.42</v>
      </c>
      <c r="H44" s="4">
        <f t="shared" si="1"/>
        <v>18.349533822654237</v>
      </c>
      <c r="I44" s="1" t="s">
        <v>13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2</v>
      </c>
      <c r="R44" s="1">
        <v>0</v>
      </c>
      <c r="S44" s="1">
        <v>0</v>
      </c>
      <c r="V44" s="1">
        <v>113</v>
      </c>
      <c r="X44" s="1">
        <f t="shared" si="25"/>
        <v>2</v>
      </c>
      <c r="Y44" s="1">
        <v>6</v>
      </c>
      <c r="Z44" s="1">
        <v>3</v>
      </c>
      <c r="AA44" s="1">
        <f t="shared" si="4"/>
        <v>0</v>
      </c>
      <c r="AB44" s="1">
        <v>26</v>
      </c>
      <c r="AC44" s="1">
        <f t="shared" si="5"/>
        <v>13</v>
      </c>
      <c r="AD44" s="1">
        <f t="shared" si="16"/>
        <v>1</v>
      </c>
      <c r="AE44" s="1">
        <f t="shared" si="6"/>
        <v>119.38</v>
      </c>
      <c r="AF44" s="1">
        <f t="shared" si="33"/>
        <v>0</v>
      </c>
      <c r="AG44" s="1">
        <v>6</v>
      </c>
      <c r="AH44" s="1">
        <v>19</v>
      </c>
      <c r="AI44" s="1">
        <v>24</v>
      </c>
      <c r="AJ44" s="1">
        <v>8</v>
      </c>
      <c r="AK44" s="1">
        <v>30</v>
      </c>
      <c r="AL44" s="1">
        <v>28</v>
      </c>
      <c r="AM44" s="1">
        <v>683</v>
      </c>
      <c r="AN44" s="4">
        <f t="shared" si="44"/>
        <v>3.4486524515373356</v>
      </c>
      <c r="AO44" s="1">
        <f t="shared" si="45"/>
        <v>14.56</v>
      </c>
      <c r="AP44" s="4">
        <f t="shared" si="46"/>
        <v>1.7103017514071295</v>
      </c>
      <c r="AQ44" s="6">
        <f t="shared" si="49"/>
        <v>1</v>
      </c>
      <c r="AR44" s="6">
        <f t="shared" si="50"/>
        <v>1</v>
      </c>
      <c r="AS44" s="1">
        <v>4</v>
      </c>
      <c r="AT44" s="1">
        <f t="shared" ref="AT44:AT48" si="51">IF(AS44&gt;2,1,0)</f>
        <v>1</v>
      </c>
      <c r="AU44" s="1">
        <f t="shared" ref="AU44:AU48" si="52">IF(AND(AS44&gt;0,AS44&lt;3),1,0)</f>
        <v>0</v>
      </c>
      <c r="AV44" s="1" t="str">
        <f t="shared" ref="AV44:AV48" si="53">IF(AND(AS44&gt;0,AS44&lt;3),"préfragile",IF(AS44&gt;2,"fragile","robuste"))</f>
        <v>fragile</v>
      </c>
      <c r="AW44" s="1">
        <v>4</v>
      </c>
      <c r="AX44" s="1">
        <f t="shared" si="11"/>
        <v>1</v>
      </c>
      <c r="AY44" s="1">
        <v>6</v>
      </c>
      <c r="AZ44" s="1">
        <f t="shared" si="12"/>
        <v>1</v>
      </c>
      <c r="BA44" s="1">
        <v>5</v>
      </c>
      <c r="BB44" s="1">
        <f t="shared" si="13"/>
        <v>1</v>
      </c>
      <c r="BC44" s="1">
        <v>22</v>
      </c>
      <c r="BD44" s="1">
        <f t="shared" si="26"/>
        <v>1</v>
      </c>
      <c r="BE44" s="1">
        <v>62</v>
      </c>
    </row>
    <row r="45" spans="1:57" x14ac:dyDescent="0.2">
      <c r="A45" s="1">
        <v>44</v>
      </c>
      <c r="B45" s="3">
        <v>45981</v>
      </c>
      <c r="C45" s="1">
        <v>1946</v>
      </c>
      <c r="D45" s="1">
        <f t="shared" si="0"/>
        <v>79</v>
      </c>
      <c r="E45" s="1" t="s">
        <v>10</v>
      </c>
      <c r="F45" s="1">
        <v>71</v>
      </c>
      <c r="G45" s="4">
        <v>1.73</v>
      </c>
      <c r="H45" s="4">
        <f t="shared" si="1"/>
        <v>23.722810651876109</v>
      </c>
      <c r="I45" s="1" t="s">
        <v>11</v>
      </c>
      <c r="J45" s="1">
        <v>10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3">
        <v>46001</v>
      </c>
      <c r="U45" s="1">
        <v>3.52</v>
      </c>
      <c r="V45" s="1">
        <v>107</v>
      </c>
      <c r="W45" s="1">
        <v>69</v>
      </c>
      <c r="X45" s="1">
        <f t="shared" si="25"/>
        <v>1</v>
      </c>
      <c r="Y45" s="1">
        <v>6</v>
      </c>
      <c r="Z45" s="1">
        <v>0</v>
      </c>
      <c r="AA45" s="1">
        <f t="shared" si="4"/>
        <v>0</v>
      </c>
      <c r="AB45" s="1">
        <v>33</v>
      </c>
      <c r="AC45" s="1">
        <f t="shared" si="5"/>
        <v>10</v>
      </c>
      <c r="AD45" s="1">
        <f t="shared" si="16"/>
        <v>0</v>
      </c>
      <c r="AE45" s="1">
        <f t="shared" si="6"/>
        <v>94.32</v>
      </c>
      <c r="AF45" s="1">
        <f t="shared" si="33"/>
        <v>0</v>
      </c>
      <c r="AG45" s="1">
        <v>5.4</v>
      </c>
      <c r="AH45" s="1">
        <v>9.5</v>
      </c>
      <c r="AI45" s="1">
        <v>36</v>
      </c>
      <c r="AJ45" s="1">
        <v>15</v>
      </c>
      <c r="AK45" s="1">
        <v>57</v>
      </c>
      <c r="AL45" s="1">
        <v>54</v>
      </c>
      <c r="AM45" s="1">
        <v>441</v>
      </c>
      <c r="AN45" s="4">
        <f t="shared" si="44"/>
        <v>12.691336964399092</v>
      </c>
      <c r="AO45" s="1">
        <f t="shared" si="45"/>
        <v>28.080000000000002</v>
      </c>
      <c r="AP45" s="4">
        <f t="shared" si="46"/>
        <v>4.2404814609238839</v>
      </c>
      <c r="AQ45" s="6">
        <f t="shared" si="49"/>
        <v>0</v>
      </c>
      <c r="AR45" s="6">
        <f t="shared" si="50"/>
        <v>0</v>
      </c>
      <c r="AS45" s="1">
        <v>0</v>
      </c>
      <c r="AT45" s="1">
        <f t="shared" si="51"/>
        <v>0</v>
      </c>
      <c r="AU45" s="1">
        <f t="shared" si="52"/>
        <v>0</v>
      </c>
      <c r="AV45" s="1" t="str">
        <f t="shared" si="53"/>
        <v>robuste</v>
      </c>
      <c r="AW45" s="1">
        <v>0</v>
      </c>
      <c r="AX45" s="1">
        <f t="shared" si="11"/>
        <v>0</v>
      </c>
      <c r="AY45" s="1">
        <v>1</v>
      </c>
      <c r="AZ45" s="1">
        <f t="shared" si="12"/>
        <v>0</v>
      </c>
      <c r="BA45" s="1">
        <v>0</v>
      </c>
      <c r="BB45" s="1">
        <f t="shared" si="13"/>
        <v>0</v>
      </c>
      <c r="BC45" s="1">
        <v>7</v>
      </c>
      <c r="BD45" s="1">
        <f t="shared" si="26"/>
        <v>0</v>
      </c>
      <c r="BE45" s="1">
        <v>97</v>
      </c>
    </row>
    <row r="46" spans="1:57" x14ac:dyDescent="0.2">
      <c r="A46" s="1">
        <v>45</v>
      </c>
      <c r="B46" s="3">
        <v>45981</v>
      </c>
      <c r="C46" s="1">
        <v>1944</v>
      </c>
      <c r="D46" s="1">
        <f t="shared" si="0"/>
        <v>81</v>
      </c>
      <c r="E46" s="1" t="s">
        <v>10</v>
      </c>
      <c r="F46" s="1">
        <v>91</v>
      </c>
      <c r="G46" s="4">
        <v>1.71</v>
      </c>
      <c r="H46" s="4">
        <f t="shared" si="1"/>
        <v>31.120686707020965</v>
      </c>
      <c r="I46" s="1" t="s">
        <v>11</v>
      </c>
      <c r="J46" s="1">
        <v>20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3">
        <v>45971</v>
      </c>
      <c r="U46" s="1">
        <v>2.8</v>
      </c>
      <c r="V46" s="1">
        <v>84</v>
      </c>
      <c r="W46" s="1">
        <v>83</v>
      </c>
      <c r="X46" s="1">
        <f t="shared" si="25"/>
        <v>1</v>
      </c>
      <c r="Y46" s="1">
        <v>5</v>
      </c>
      <c r="Z46" s="1">
        <v>0</v>
      </c>
      <c r="AA46" s="1">
        <f t="shared" si="4"/>
        <v>0</v>
      </c>
      <c r="AB46" s="1">
        <v>36</v>
      </c>
      <c r="AC46" s="1">
        <f t="shared" si="5"/>
        <v>0</v>
      </c>
      <c r="AD46" s="1">
        <f t="shared" si="16"/>
        <v>0</v>
      </c>
      <c r="AE46" s="1">
        <f t="shared" si="6"/>
        <v>69.28</v>
      </c>
      <c r="AF46" s="1">
        <f t="shared" si="33"/>
        <v>0</v>
      </c>
      <c r="AG46" s="1">
        <v>2.5</v>
      </c>
      <c r="AH46" s="1">
        <v>12</v>
      </c>
      <c r="AI46" s="1">
        <v>40</v>
      </c>
      <c r="AJ46" s="1">
        <v>33</v>
      </c>
      <c r="AK46" s="1">
        <v>60</v>
      </c>
      <c r="AL46" s="1">
        <v>57</v>
      </c>
      <c r="AM46" s="1">
        <v>453</v>
      </c>
      <c r="AN46" s="4">
        <f t="shared" si="44"/>
        <v>16.271271628476821</v>
      </c>
      <c r="AO46" s="1">
        <f t="shared" si="45"/>
        <v>29.64</v>
      </c>
      <c r="AP46" s="4">
        <f t="shared" si="46"/>
        <v>5.5645400733479775</v>
      </c>
      <c r="AQ46" s="6">
        <f t="shared" si="49"/>
        <v>0</v>
      </c>
      <c r="AR46" s="6">
        <f t="shared" si="50"/>
        <v>0</v>
      </c>
      <c r="AS46" s="1">
        <v>0</v>
      </c>
      <c r="AT46" s="1">
        <f t="shared" si="51"/>
        <v>0</v>
      </c>
      <c r="AU46" s="1">
        <f t="shared" si="52"/>
        <v>0</v>
      </c>
      <c r="AV46" s="1" t="str">
        <f t="shared" si="53"/>
        <v>robuste</v>
      </c>
      <c r="AW46" s="1">
        <v>1</v>
      </c>
      <c r="AX46" s="1">
        <f t="shared" si="11"/>
        <v>0</v>
      </c>
      <c r="AY46" s="1">
        <v>3</v>
      </c>
      <c r="AZ46" s="1">
        <f t="shared" si="12"/>
        <v>0</v>
      </c>
      <c r="BA46" s="1">
        <v>3</v>
      </c>
      <c r="BB46" s="1">
        <f t="shared" si="13"/>
        <v>0</v>
      </c>
      <c r="BC46" s="1">
        <v>2</v>
      </c>
      <c r="BD46" s="1">
        <f t="shared" si="26"/>
        <v>0</v>
      </c>
      <c r="BE46" s="1">
        <f>5+6+5+7+6+7+5+7+6+7+6+7+7+6+7</f>
        <v>94</v>
      </c>
    </row>
    <row r="47" spans="1:57" x14ac:dyDescent="0.2">
      <c r="A47" s="1">
        <v>46</v>
      </c>
      <c r="B47" s="3">
        <v>45974</v>
      </c>
      <c r="C47" s="1">
        <v>1959</v>
      </c>
      <c r="D47" s="1">
        <f t="shared" si="0"/>
        <v>66</v>
      </c>
      <c r="E47" s="1" t="s">
        <v>10</v>
      </c>
      <c r="F47" s="1">
        <v>79</v>
      </c>
      <c r="G47" s="4">
        <v>1.65</v>
      </c>
      <c r="H47" s="4">
        <f t="shared" si="1"/>
        <v>29.017447199265384</v>
      </c>
      <c r="I47" s="1" t="s">
        <v>11</v>
      </c>
      <c r="J47" s="1">
        <v>30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3">
        <v>45890</v>
      </c>
      <c r="U47" s="1">
        <v>3.9</v>
      </c>
      <c r="V47" s="1">
        <v>93</v>
      </c>
      <c r="W47" s="1">
        <v>73</v>
      </c>
      <c r="X47" s="1">
        <f t="shared" si="25"/>
        <v>1</v>
      </c>
      <c r="Y47" s="1">
        <v>3</v>
      </c>
      <c r="Z47" s="1">
        <v>0</v>
      </c>
      <c r="AA47" s="1">
        <f t="shared" si="4"/>
        <v>0</v>
      </c>
      <c r="AB47" s="1">
        <v>34</v>
      </c>
      <c r="AC47" s="1">
        <f t="shared" si="5"/>
        <v>0</v>
      </c>
      <c r="AD47" s="1">
        <f t="shared" si="16"/>
        <v>0</v>
      </c>
      <c r="AE47" s="1">
        <f t="shared" si="6"/>
        <v>50.72</v>
      </c>
      <c r="AF47" s="1">
        <f t="shared" si="33"/>
        <v>0</v>
      </c>
      <c r="AG47" s="1">
        <v>1.6</v>
      </c>
      <c r="AH47" s="1">
        <v>7</v>
      </c>
      <c r="AI47" s="1">
        <v>46</v>
      </c>
      <c r="AJ47" s="1">
        <v>25</v>
      </c>
      <c r="AK47" s="1">
        <v>57</v>
      </c>
      <c r="AL47" s="1">
        <v>55</v>
      </c>
      <c r="AM47" s="1">
        <v>547</v>
      </c>
      <c r="AN47" s="4">
        <f t="shared" si="44"/>
        <v>14.122980498171847</v>
      </c>
      <c r="AO47" s="1">
        <f t="shared" si="45"/>
        <v>28.6</v>
      </c>
      <c r="AP47" s="4">
        <f t="shared" si="46"/>
        <v>5.1875043152146363</v>
      </c>
      <c r="AQ47" s="6">
        <f t="shared" si="49"/>
        <v>0</v>
      </c>
      <c r="AR47" s="6">
        <f t="shared" si="50"/>
        <v>0</v>
      </c>
      <c r="AS47" s="1">
        <v>0</v>
      </c>
      <c r="AT47" s="1">
        <f t="shared" si="51"/>
        <v>0</v>
      </c>
      <c r="AU47" s="1">
        <f t="shared" si="52"/>
        <v>0</v>
      </c>
      <c r="AV47" s="1" t="str">
        <f t="shared" si="53"/>
        <v>robuste</v>
      </c>
      <c r="AW47" s="1">
        <v>0</v>
      </c>
      <c r="AX47" s="1">
        <f t="shared" si="11"/>
        <v>0</v>
      </c>
      <c r="AY47" s="1">
        <v>2</v>
      </c>
      <c r="AZ47" s="1">
        <f t="shared" si="12"/>
        <v>0</v>
      </c>
      <c r="BA47" s="1">
        <v>0</v>
      </c>
      <c r="BB47" s="1">
        <f t="shared" si="13"/>
        <v>0</v>
      </c>
      <c r="BC47" s="1">
        <v>13</v>
      </c>
      <c r="BD47" s="1">
        <f t="shared" si="26"/>
        <v>1</v>
      </c>
      <c r="BE47" s="1">
        <f>6+7+4+7+7+4+4+4+7+6+7+7+7+5+7</f>
        <v>89</v>
      </c>
    </row>
    <row r="48" spans="1:57" x14ac:dyDescent="0.2">
      <c r="A48" s="1">
        <v>47</v>
      </c>
      <c r="B48" s="3">
        <v>45974</v>
      </c>
      <c r="C48" s="1">
        <v>1959</v>
      </c>
      <c r="D48" s="1">
        <f t="shared" si="0"/>
        <v>66</v>
      </c>
      <c r="E48" s="1" t="s">
        <v>10</v>
      </c>
      <c r="F48" s="1">
        <v>96</v>
      </c>
      <c r="G48" s="4">
        <v>1.78</v>
      </c>
      <c r="H48" s="4">
        <f t="shared" si="1"/>
        <v>30.299204645878042</v>
      </c>
      <c r="I48" s="1" t="s">
        <v>11</v>
      </c>
      <c r="J48" s="1">
        <v>50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3">
        <v>45896</v>
      </c>
      <c r="U48" s="1">
        <v>2.8</v>
      </c>
      <c r="V48" s="1">
        <v>66</v>
      </c>
      <c r="W48" s="1">
        <v>35</v>
      </c>
      <c r="X48" s="1">
        <f t="shared" si="25"/>
        <v>4</v>
      </c>
      <c r="Y48" s="1">
        <v>3</v>
      </c>
      <c r="Z48" s="1">
        <v>3</v>
      </c>
      <c r="AA48" s="1">
        <f t="shared" si="4"/>
        <v>0</v>
      </c>
      <c r="AB48" s="1">
        <v>41</v>
      </c>
      <c r="AC48" s="1">
        <f t="shared" si="5"/>
        <v>3</v>
      </c>
      <c r="AD48" s="1">
        <f t="shared" si="16"/>
        <v>0</v>
      </c>
      <c r="AE48" s="1">
        <f t="shared" si="6"/>
        <v>42.96</v>
      </c>
      <c r="AF48" s="1">
        <f t="shared" si="33"/>
        <v>0</v>
      </c>
      <c r="AG48" s="1">
        <v>2.1</v>
      </c>
      <c r="AH48" s="1">
        <v>12</v>
      </c>
      <c r="AI48" s="1">
        <v>38</v>
      </c>
      <c r="AJ48" s="1">
        <v>28</v>
      </c>
      <c r="AK48" s="1">
        <v>68</v>
      </c>
      <c r="AL48" s="1">
        <v>64</v>
      </c>
      <c r="AM48" s="1">
        <v>428</v>
      </c>
      <c r="AN48" s="4">
        <f t="shared" si="44"/>
        <v>17.166458352336448</v>
      </c>
      <c r="AO48" s="1">
        <f t="shared" si="45"/>
        <v>33.28</v>
      </c>
      <c r="AP48" s="4">
        <f t="shared" si="46"/>
        <v>5.418021194399838</v>
      </c>
      <c r="AQ48" s="6">
        <f t="shared" si="49"/>
        <v>0</v>
      </c>
      <c r="AR48" s="6">
        <f t="shared" si="50"/>
        <v>0</v>
      </c>
      <c r="AS48" s="1">
        <v>1</v>
      </c>
      <c r="AT48" s="1">
        <f t="shared" si="51"/>
        <v>0</v>
      </c>
      <c r="AU48" s="1">
        <f t="shared" si="52"/>
        <v>1</v>
      </c>
      <c r="AV48" s="1" t="str">
        <f t="shared" si="53"/>
        <v>préfragile</v>
      </c>
      <c r="AW48" s="1">
        <v>2</v>
      </c>
      <c r="AX48" s="1">
        <f t="shared" si="11"/>
        <v>0</v>
      </c>
      <c r="AY48" s="1">
        <v>2</v>
      </c>
      <c r="AZ48" s="1">
        <f t="shared" si="12"/>
        <v>0</v>
      </c>
      <c r="BA48" s="1">
        <v>3</v>
      </c>
      <c r="BB48" s="1">
        <f t="shared" si="13"/>
        <v>0</v>
      </c>
      <c r="BC48" s="1">
        <v>15</v>
      </c>
      <c r="BD48" s="1">
        <f t="shared" si="26"/>
        <v>1</v>
      </c>
      <c r="BE48" s="1">
        <f>2+7+5+2+4+3+4+4+6+6+4+4+4+6+7</f>
        <v>68</v>
      </c>
    </row>
  </sheetData>
  <dataValidations count="7">
    <dataValidation type="list" allowBlank="1" showInputMessage="1" showErrorMessage="1" sqref="E2:E1048576" xr:uid="{00000000-0002-0000-0000-000000000000}">
      <formula1>"F,M"</formula1>
    </dataValidation>
    <dataValidation type="list" allowBlank="1" showInputMessage="1" showErrorMessage="1" sqref="I2:I1048576" xr:uid="{00000000-0002-0000-0000-000001000000}">
      <formula1>"NF,ExF,F"</formula1>
    </dataValidation>
    <dataValidation type="list" allowBlank="1" showInputMessage="1" showErrorMessage="1" sqref="M2:M1048576" xr:uid="{00000000-0002-0000-0000-000002000000}">
      <formula1>"0,lobectomie,pneumonectomie"</formula1>
    </dataValidation>
    <dataValidation type="list" allowBlank="1" showInputMessage="1" showErrorMessage="1" sqref="N2:P1048576 K2:L1048576 BN18:BN1048576 BH2:BL16 BH18:BL1048576 BN2:BN16" xr:uid="{00000000-0002-0000-0000-000003000000}">
      <formula1>"0,1"</formula1>
    </dataValidation>
    <dataValidation type="list" allowBlank="1" showInputMessage="1" showErrorMessage="1" sqref="BG18:BG1048576 BG2:BG16" xr:uid="{00000000-0002-0000-0000-000004000000}">
      <formula1>"FPI,PHS,connectivite,inclassable,autre"</formula1>
    </dataValidation>
    <dataValidation type="decimal" allowBlank="1" showInputMessage="1" showErrorMessage="1" sqref="Q2:Q1048576 BR2:BR1048576" xr:uid="{00000000-0002-0000-0000-000005000000}">
      <formula1>0</formula1>
      <formula2>4</formula2>
    </dataValidation>
    <dataValidation type="list" allowBlank="1" showInputMessage="1" showErrorMessage="1" sqref="R2:R1048576 BT2:BT1048576" xr:uid="{00000000-0002-0000-0000-000006000000}">
      <formula1>"0,1,2,3,4,5"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de données brute</vt:lpstr>
    </vt:vector>
  </TitlesOfParts>
  <Company>CHU-Nantes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MENIGOZ Charlotte</dc:creator>
  <cp:lastModifiedBy>Ines Vincent</cp:lastModifiedBy>
  <dcterms:created xsi:type="dcterms:W3CDTF">2025-04-10T12:32:49Z</dcterms:created>
  <dcterms:modified xsi:type="dcterms:W3CDTF">2026-04-25T09:56:14Z</dcterms:modified>
</cp:coreProperties>
</file>